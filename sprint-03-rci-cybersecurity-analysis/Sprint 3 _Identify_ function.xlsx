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t Management" sheetId="1" r:id="rId5"/>
    <sheet state="visible" name="Risk Assessment" sheetId="2" r:id="rId6"/>
    <sheet state="visible" name="Asset Value Rating System" sheetId="3" r:id="rId7"/>
  </sheets>
  <definedNames/>
  <calcPr/>
</workbook>
</file>

<file path=xl/sharedStrings.xml><?xml version="1.0" encoding="utf-8"?>
<sst xmlns="http://schemas.openxmlformats.org/spreadsheetml/2006/main" count="225" uniqueCount="138">
  <si>
    <t>Asset ID</t>
  </si>
  <si>
    <t>Asset Name</t>
  </si>
  <si>
    <t>Asset Type</t>
  </si>
  <si>
    <t>IP Address</t>
  </si>
  <si>
    <t>Location</t>
  </si>
  <si>
    <t>Owner</t>
  </si>
  <si>
    <t>Operating System</t>
  </si>
  <si>
    <t>Software Version</t>
  </si>
  <si>
    <t>Purchase Date</t>
  </si>
  <si>
    <t>Warranty Expiration</t>
  </si>
  <si>
    <t>Criticality</t>
  </si>
  <si>
    <t>Vulnerabilities Identified</t>
  </si>
  <si>
    <t>Security Review</t>
  </si>
  <si>
    <t>Comments</t>
  </si>
  <si>
    <t>Email Server</t>
  </si>
  <si>
    <t>Server</t>
  </si>
  <si>
    <t>192.168.1.10</t>
  </si>
  <si>
    <t>Data Center</t>
  </si>
  <si>
    <t>IT Dept.</t>
  </si>
  <si>
    <t>Windows Server</t>
  </si>
  <si>
    <t>Exchange 2016</t>
  </si>
  <si>
    <t>High</t>
  </si>
  <si>
    <t>Web Server</t>
  </si>
  <si>
    <t>192.168.1.30</t>
  </si>
  <si>
    <t>Ubuntu 20.04</t>
  </si>
  <si>
    <t>Apache 2.4.41</t>
  </si>
  <si>
    <t>OpenSSL vulnerability</t>
  </si>
  <si>
    <t>Database Server</t>
  </si>
  <si>
    <t>192.168.1.20</t>
  </si>
  <si>
    <t>RHEL 8</t>
  </si>
  <si>
    <t>MySQL 8.0</t>
  </si>
  <si>
    <t>SQL injection vulnerability</t>
  </si>
  <si>
    <t>Laptop-001</t>
  </si>
  <si>
    <t>Workstation</t>
  </si>
  <si>
    <t>192.168.1.108</t>
  </si>
  <si>
    <t>Office</t>
  </si>
  <si>
    <t>Emanuel Hendricks</t>
  </si>
  <si>
    <t>Windows 10</t>
  </si>
  <si>
    <t>N/A</t>
  </si>
  <si>
    <t>Medium</t>
  </si>
  <si>
    <t>Laptop-002</t>
  </si>
  <si>
    <t>192.168.1.111</t>
  </si>
  <si>
    <t>Alex Smith</t>
  </si>
  <si>
    <t>CVE-2017-0144 (EternalBlue)</t>
  </si>
  <si>
    <t>Switch-001</t>
  </si>
  <si>
    <t>Networking</t>
  </si>
  <si>
    <t>172.18.0.100</t>
  </si>
  <si>
    <t>Firewall-001</t>
  </si>
  <si>
    <t>Security</t>
  </si>
  <si>
    <t>172.19.0.100</t>
  </si>
  <si>
    <t>FortiOS 6.4</t>
  </si>
  <si>
    <t>FortiOS vulnerability</t>
  </si>
  <si>
    <t>Laptop-CEO</t>
  </si>
  <si>
    <t>192.168.1.222</t>
  </si>
  <si>
    <t>CEO Willa Herzog</t>
  </si>
  <si>
    <t>macOS 14.6</t>
  </si>
  <si>
    <t>23G80 (Sonoma)</t>
  </si>
  <si>
    <t>FileVault Disabled, No MDM</t>
  </si>
  <si>
    <t>Laptop-Fin-005</t>
  </si>
  <si>
    <t>192.168.1.72</t>
  </si>
  <si>
    <t>Finance: Sophie Alvarez</t>
  </si>
  <si>
    <t>22H2</t>
  </si>
  <si>
    <t>Phishing vunerability from non-updated Excel</t>
  </si>
  <si>
    <t>Risk ID</t>
  </si>
  <si>
    <t>Risk Description</t>
  </si>
  <si>
    <t>Asset Involved</t>
  </si>
  <si>
    <t>Threat Source</t>
  </si>
  <si>
    <t>Vulnerability</t>
  </si>
  <si>
    <t>Potential Impact</t>
  </si>
  <si>
    <t>Likelihood</t>
  </si>
  <si>
    <t>Impact Level</t>
  </si>
  <si>
    <t>Risk Level</t>
  </si>
  <si>
    <t>Existing Controls</t>
  </si>
  <si>
    <t>Recommended Mitigation</t>
  </si>
  <si>
    <t>Risk Owner</t>
  </si>
  <si>
    <t>Review Date</t>
  </si>
  <si>
    <t>Status</t>
  </si>
  <si>
    <t>Unauthorized access to email server</t>
  </si>
  <si>
    <t>External attacker</t>
  </si>
  <si>
    <t>Weak password policy</t>
  </si>
  <si>
    <t>Data breach, loss of confidentiality</t>
  </si>
  <si>
    <t>Strong passwords, 2FA</t>
  </si>
  <si>
    <t>Implement regular password audits; MFA</t>
  </si>
  <si>
    <t>IT Security Team</t>
  </si>
  <si>
    <t>Open</t>
  </si>
  <si>
    <t>SQL injection attack on database server</t>
  </si>
  <si>
    <t>Cybercriminals</t>
  </si>
  <si>
    <t>Unpatched SQL software</t>
  </si>
  <si>
    <t>Data theft, system compromise</t>
  </si>
  <si>
    <t>WAF, input validation</t>
  </si>
  <si>
    <t>Apply latest security patches; enhance WAF rules</t>
  </si>
  <si>
    <t>Database Admin</t>
  </si>
  <si>
    <t>DDoS attack on web server</t>
  </si>
  <si>
    <t>Hacktivists</t>
  </si>
  <si>
    <t>Insufficient network bandwidth</t>
  </si>
  <si>
    <t>Web downtime, service disruption</t>
  </si>
  <si>
    <t>Load balancer, CDN</t>
  </si>
  <si>
    <t>Increase bandwidth; deploy anti-DDoS services</t>
  </si>
  <si>
    <t>Network Team</t>
  </si>
  <si>
    <t>Phishing attack targeting employees</t>
  </si>
  <si>
    <t>Workstations</t>
  </si>
  <si>
    <t>Social Engineering</t>
  </si>
  <si>
    <t>Lack of awareness training</t>
  </si>
  <si>
    <t>Credential theft, malware infection</t>
  </si>
  <si>
    <t>Email filtering, awareness training</t>
  </si>
  <si>
    <t>Conduct regular phishing simulations</t>
  </si>
  <si>
    <t>HR &amp; IT Security</t>
  </si>
  <si>
    <t>Physical theft of laptops</t>
  </si>
  <si>
    <t>Insider threat OR external thief</t>
  </si>
  <si>
    <t>Inadequate physical security</t>
  </si>
  <si>
    <t>Loss of sensitive data, data breach</t>
  </si>
  <si>
    <t>Encryption, physical locks</t>
  </si>
  <si>
    <t>Improve physical security; enforce encryption; MDM management for remote wipe</t>
  </si>
  <si>
    <t>Unencrypted drive on CEO's laptop without MDM remote wipe set up</t>
  </si>
  <si>
    <t>Insider threat "evil maid"</t>
  </si>
  <si>
    <t>Disabled FileVault and no MDM program</t>
  </si>
  <si>
    <t>FileVault encryption</t>
  </si>
  <si>
    <t>IT user education; Enable FileVault for encryption;  MDM management for remote wipe</t>
  </si>
  <si>
    <t>Closed</t>
  </si>
  <si>
    <t>Out-of-Date Software - Phishing</t>
  </si>
  <si>
    <t>Laptop-CEO, Laptop-Fin005</t>
  </si>
  <si>
    <t>Software vunerablilities, awareness training</t>
  </si>
  <si>
    <t>Loss of sensitive data, Financial reprocussions</t>
  </si>
  <si>
    <t>email filtering, awareness training, automatic updates</t>
  </si>
  <si>
    <t>Patch automations, phishing simulations</t>
  </si>
  <si>
    <t>Asset Category</t>
  </si>
  <si>
    <t>Business Importance</t>
  </si>
  <si>
    <t>Data Sensitivity</t>
  </si>
  <si>
    <t>Impact of Compromise</t>
  </si>
  <si>
    <t>Likelihood of Threat</t>
  </si>
  <si>
    <t>Total Rating (Sum)</t>
  </si>
  <si>
    <t>Priority Level</t>
  </si>
  <si>
    <t>Server, Data</t>
  </si>
  <si>
    <t>Endpoint</t>
  </si>
  <si>
    <t>Networking, Infrastructure</t>
  </si>
  <si>
    <t>Low</t>
  </si>
  <si>
    <t>Security, Infrastructure, Networking</t>
  </si>
  <si>
    <t>Laptop_CEO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</si>
</sst>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Roboto Condensed"/>
    </font>
    <font>
      <color theme="1"/>
      <name val="Roboto Condensed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A2C4C9"/>
        <bgColor rgb="FFA2C4C9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0" fillId="2" fontId="2" numFmtId="0" xfId="0" applyAlignment="1" applyFill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3" fontId="3" numFmtId="0" xfId="0" applyAlignment="1" applyFill="1" applyFont="1">
      <alignment readingOrder="0" shrinkToFit="0" wrapText="1"/>
    </xf>
    <xf borderId="0" fillId="2" fontId="2" numFmtId="164" xfId="0" applyAlignment="1" applyFont="1" applyNumberFormat="1">
      <alignment readingOrder="0" shrinkToFit="0" wrapText="1"/>
    </xf>
    <xf borderId="0" fillId="2" fontId="2" numFmtId="0" xfId="0" applyAlignment="1" applyFont="1">
      <alignment shrinkToFit="0" wrapText="1"/>
    </xf>
    <xf borderId="0" fillId="4" fontId="2" numFmtId="0" xfId="0" applyAlignment="1" applyFill="1" applyFont="1">
      <alignment readingOrder="0" shrinkToFit="0" wrapText="1"/>
    </xf>
    <xf borderId="0" fillId="4" fontId="2" numFmtId="0" xfId="0" applyAlignment="1" applyFont="1">
      <alignment readingOrder="0" shrinkToFit="0" wrapText="1"/>
    </xf>
    <xf borderId="0" fillId="4" fontId="2" numFmtId="164" xfId="0" applyAlignment="1" applyFont="1" applyNumberFormat="1">
      <alignment readingOrder="0" shrinkToFit="0" wrapText="1"/>
    </xf>
    <xf borderId="0" fillId="4" fontId="2" numFmtId="0" xfId="0" applyAlignment="1" applyFont="1">
      <alignment shrinkToFit="0" wrapText="1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164" xfId="0" applyAlignment="1" applyFont="1" applyNumberFormat="1">
      <alignment readingOrder="0" shrinkToFit="0" vertical="top" wrapText="1"/>
    </xf>
    <xf borderId="0" fillId="2" fontId="2" numFmtId="0" xfId="0" applyAlignment="1" applyFont="1">
      <alignment readingOrder="0" shrinkToFit="0" vertical="top" wrapText="1"/>
    </xf>
    <xf borderId="0" fillId="2" fontId="2" numFmtId="164" xfId="0" applyAlignment="1" applyFont="1" applyNumberFormat="1">
      <alignment readingOrder="0" shrinkToFit="0" vertical="top" wrapText="1"/>
    </xf>
    <xf borderId="0" fillId="4" fontId="2" numFmtId="0" xfId="0" applyAlignment="1" applyFont="1">
      <alignment readingOrder="0" shrinkToFit="0" vertical="top" wrapText="1"/>
    </xf>
    <xf borderId="0" fillId="4" fontId="2" numFmtId="164" xfId="0" applyAlignment="1" applyFont="1" applyNumberFormat="1">
      <alignment readingOrder="0" shrinkToFit="0" vertical="top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4" fontId="2" numFmtId="0" xfId="0" applyAlignment="1" applyFont="1">
      <alignment readingOrder="0"/>
    </xf>
    <xf borderId="0" fillId="4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3" max="3" width="15.5"/>
    <col customWidth="1" min="6" max="6" width="13.75"/>
    <col customWidth="1" min="9" max="9" width="10.5"/>
    <col customWidth="1" min="10" max="10" width="14.0"/>
    <col customWidth="1" min="12" max="12" width="18.13"/>
    <col customWidth="1" min="13" max="13" width="11.88"/>
    <col customWidth="1" min="14" max="14" width="5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1.0</v>
      </c>
      <c r="B2" s="2" t="s">
        <v>14</v>
      </c>
      <c r="C2" s="3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4">
        <v>44562.0</v>
      </c>
      <c r="J2" s="4">
        <v>45658.0</v>
      </c>
      <c r="K2" s="2" t="s">
        <v>21</v>
      </c>
      <c r="L2" s="5"/>
      <c r="M2" s="4">
        <v>45444.0</v>
      </c>
      <c r="N2" s="5"/>
    </row>
    <row r="3">
      <c r="A3" s="2">
        <v>2.0</v>
      </c>
      <c r="B3" s="2" t="s">
        <v>22</v>
      </c>
      <c r="C3" s="3" t="s">
        <v>15</v>
      </c>
      <c r="D3" s="2" t="s">
        <v>23</v>
      </c>
      <c r="E3" s="2" t="s">
        <v>17</v>
      </c>
      <c r="F3" s="2" t="s">
        <v>18</v>
      </c>
      <c r="G3" s="2" t="s">
        <v>24</v>
      </c>
      <c r="H3" s="2" t="s">
        <v>25</v>
      </c>
      <c r="I3" s="4">
        <v>44635.0</v>
      </c>
      <c r="J3" s="4">
        <v>45731.0</v>
      </c>
      <c r="K3" s="2" t="s">
        <v>21</v>
      </c>
      <c r="L3" s="2" t="s">
        <v>26</v>
      </c>
      <c r="M3" s="4">
        <v>45427.0</v>
      </c>
      <c r="N3" s="5"/>
    </row>
    <row r="4">
      <c r="A4" s="2">
        <v>3.0</v>
      </c>
      <c r="B4" s="2" t="s">
        <v>27</v>
      </c>
      <c r="C4" s="3" t="s">
        <v>15</v>
      </c>
      <c r="D4" s="2" t="s">
        <v>28</v>
      </c>
      <c r="E4" s="2" t="s">
        <v>17</v>
      </c>
      <c r="F4" s="2" t="s">
        <v>18</v>
      </c>
      <c r="G4" s="2" t="s">
        <v>29</v>
      </c>
      <c r="H4" s="2" t="s">
        <v>30</v>
      </c>
      <c r="I4" s="4">
        <v>44602.0</v>
      </c>
      <c r="J4" s="4">
        <v>45698.0</v>
      </c>
      <c r="K4" s="2" t="s">
        <v>21</v>
      </c>
      <c r="L4" s="2" t="s">
        <v>31</v>
      </c>
      <c r="M4" s="4">
        <v>45444.0</v>
      </c>
      <c r="N4" s="5"/>
    </row>
    <row r="5">
      <c r="A5" s="2">
        <v>4.0</v>
      </c>
      <c r="B5" s="2" t="s">
        <v>32</v>
      </c>
      <c r="C5" s="3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38</v>
      </c>
      <c r="I5" s="4">
        <v>44762.0</v>
      </c>
      <c r="J5" s="4">
        <v>45493.0</v>
      </c>
      <c r="K5" s="2" t="s">
        <v>39</v>
      </c>
      <c r="L5" s="5"/>
      <c r="M5" s="4">
        <v>45453.0</v>
      </c>
      <c r="N5" s="5"/>
    </row>
    <row r="6">
      <c r="A6" s="2">
        <v>5.0</v>
      </c>
      <c r="B6" s="2" t="s">
        <v>40</v>
      </c>
      <c r="C6" s="3" t="s">
        <v>33</v>
      </c>
      <c r="D6" s="2" t="s">
        <v>41</v>
      </c>
      <c r="E6" s="2" t="s">
        <v>35</v>
      </c>
      <c r="F6" s="2" t="s">
        <v>42</v>
      </c>
      <c r="G6" s="2" t="s">
        <v>37</v>
      </c>
      <c r="H6" s="2" t="s">
        <v>38</v>
      </c>
      <c r="I6" s="4">
        <v>42571.0</v>
      </c>
      <c r="J6" s="4">
        <v>42936.0</v>
      </c>
      <c r="K6" s="2" t="s">
        <v>39</v>
      </c>
      <c r="L6" s="2" t="s">
        <v>43</v>
      </c>
      <c r="M6" s="4">
        <v>45453.0</v>
      </c>
      <c r="N6" s="5"/>
    </row>
    <row r="7">
      <c r="A7" s="2">
        <v>6.0</v>
      </c>
      <c r="B7" s="2" t="s">
        <v>44</v>
      </c>
      <c r="C7" s="3" t="s">
        <v>45</v>
      </c>
      <c r="D7" s="2" t="s">
        <v>46</v>
      </c>
      <c r="E7" s="2" t="s">
        <v>17</v>
      </c>
      <c r="F7" s="2" t="s">
        <v>18</v>
      </c>
      <c r="G7" s="2" t="s">
        <v>38</v>
      </c>
      <c r="H7" s="2" t="s">
        <v>38</v>
      </c>
      <c r="I7" s="4">
        <v>44291.0</v>
      </c>
      <c r="J7" s="4">
        <v>45387.0</v>
      </c>
      <c r="K7" s="2" t="s">
        <v>39</v>
      </c>
      <c r="L7" s="5"/>
      <c r="M7" s="4">
        <v>45432.0</v>
      </c>
      <c r="N7" s="5"/>
    </row>
    <row r="8">
      <c r="A8" s="2">
        <v>7.0</v>
      </c>
      <c r="B8" s="2" t="s">
        <v>47</v>
      </c>
      <c r="C8" s="3" t="s">
        <v>48</v>
      </c>
      <c r="D8" s="2" t="s">
        <v>49</v>
      </c>
      <c r="E8" s="2" t="s">
        <v>17</v>
      </c>
      <c r="F8" s="2" t="s">
        <v>18</v>
      </c>
      <c r="G8" s="2" t="s">
        <v>38</v>
      </c>
      <c r="H8" s="2" t="s">
        <v>50</v>
      </c>
      <c r="I8" s="4">
        <v>44359.0</v>
      </c>
      <c r="J8" s="4">
        <v>45455.0</v>
      </c>
      <c r="K8" s="2" t="s">
        <v>21</v>
      </c>
      <c r="L8" s="2" t="s">
        <v>51</v>
      </c>
      <c r="M8" s="4">
        <v>45458.0</v>
      </c>
      <c r="N8" s="5"/>
    </row>
    <row r="9">
      <c r="A9" s="6">
        <v>8.0</v>
      </c>
      <c r="B9" s="6" t="s">
        <v>52</v>
      </c>
      <c r="C9" s="7" t="s">
        <v>33</v>
      </c>
      <c r="D9" s="6" t="s">
        <v>53</v>
      </c>
      <c r="E9" s="6" t="s">
        <v>35</v>
      </c>
      <c r="F9" s="8" t="s">
        <v>54</v>
      </c>
      <c r="G9" s="6" t="s">
        <v>55</v>
      </c>
      <c r="H9" s="6" t="s">
        <v>56</v>
      </c>
      <c r="I9" s="9">
        <v>45368.0</v>
      </c>
      <c r="J9" s="9">
        <v>45733.0</v>
      </c>
      <c r="K9" s="6" t="s">
        <v>39</v>
      </c>
      <c r="L9" s="6" t="s">
        <v>57</v>
      </c>
      <c r="M9" s="9">
        <v>45561.0</v>
      </c>
      <c r="N9" s="10"/>
    </row>
    <row r="10">
      <c r="A10" s="11">
        <v>9.0</v>
      </c>
      <c r="B10" s="11" t="s">
        <v>58</v>
      </c>
      <c r="C10" s="12" t="s">
        <v>33</v>
      </c>
      <c r="D10" s="11" t="s">
        <v>59</v>
      </c>
      <c r="E10" s="11" t="s">
        <v>35</v>
      </c>
      <c r="F10" s="11" t="s">
        <v>60</v>
      </c>
      <c r="G10" s="11" t="s">
        <v>37</v>
      </c>
      <c r="H10" s="11" t="s">
        <v>61</v>
      </c>
      <c r="I10" s="13"/>
      <c r="J10" s="13"/>
      <c r="K10" s="11" t="s">
        <v>21</v>
      </c>
      <c r="L10" s="11" t="s">
        <v>62</v>
      </c>
      <c r="M10" s="13">
        <v>45569.0</v>
      </c>
      <c r="N10" s="14"/>
    </row>
  </sheetData>
  <dataValidations>
    <dataValidation type="list" allowBlank="1" showErrorMessage="1" sqref="E2:E10">
      <formula1>"Data Center,Office,Remote"</formula1>
    </dataValidation>
    <dataValidation type="list" allowBlank="1" showErrorMessage="1" sqref="K2:K10">
      <formula1>"High,Medium,Low"</formula1>
    </dataValidation>
    <dataValidation type="list" allowBlank="1" showErrorMessage="1" sqref="C2:C10">
      <formula1>"Server,Workstation,Networking,Security"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2" max="2" width="26.38"/>
    <col customWidth="1" min="4" max="4" width="19.88"/>
    <col customWidth="1" min="5" max="5" width="15.75"/>
    <col customWidth="1" min="6" max="6" width="17.75"/>
    <col customWidth="1" min="10" max="10" width="17.38"/>
    <col customWidth="1" min="11" max="11" width="21.75"/>
    <col customWidth="1" min="13" max="13" width="9.25"/>
  </cols>
  <sheetData>
    <row r="1">
      <c r="A1" s="15" t="s">
        <v>63</v>
      </c>
      <c r="B1" s="15" t="s">
        <v>64</v>
      </c>
      <c r="C1" s="15" t="s">
        <v>65</v>
      </c>
      <c r="D1" s="15" t="s">
        <v>66</v>
      </c>
      <c r="E1" s="15" t="s">
        <v>67</v>
      </c>
      <c r="F1" s="15" t="s">
        <v>68</v>
      </c>
      <c r="G1" s="15" t="s">
        <v>69</v>
      </c>
      <c r="H1" s="15" t="s">
        <v>70</v>
      </c>
      <c r="I1" s="15" t="s">
        <v>71</v>
      </c>
      <c r="J1" s="15" t="s">
        <v>72</v>
      </c>
      <c r="K1" s="15" t="s">
        <v>73</v>
      </c>
      <c r="L1" s="15" t="s">
        <v>74</v>
      </c>
      <c r="M1" s="15" t="s">
        <v>75</v>
      </c>
      <c r="N1" s="15" t="s">
        <v>76</v>
      </c>
    </row>
    <row r="2">
      <c r="A2" s="16">
        <v>1.0</v>
      </c>
      <c r="B2" s="16" t="s">
        <v>77</v>
      </c>
      <c r="C2" s="16" t="s">
        <v>14</v>
      </c>
      <c r="D2" s="16" t="s">
        <v>78</v>
      </c>
      <c r="E2" s="16" t="s">
        <v>79</v>
      </c>
      <c r="F2" s="16" t="s">
        <v>80</v>
      </c>
      <c r="G2" s="16" t="s">
        <v>21</v>
      </c>
      <c r="H2" s="16" t="s">
        <v>21</v>
      </c>
      <c r="I2" s="16" t="s">
        <v>21</v>
      </c>
      <c r="J2" s="16" t="s">
        <v>81</v>
      </c>
      <c r="K2" s="16" t="s">
        <v>82</v>
      </c>
      <c r="L2" s="16" t="s">
        <v>83</v>
      </c>
      <c r="M2" s="17">
        <v>45505.0</v>
      </c>
      <c r="N2" s="16" t="s">
        <v>84</v>
      </c>
    </row>
    <row r="3">
      <c r="A3" s="16">
        <v>2.0</v>
      </c>
      <c r="B3" s="16" t="s">
        <v>85</v>
      </c>
      <c r="C3" s="16" t="s">
        <v>27</v>
      </c>
      <c r="D3" s="16" t="s">
        <v>86</v>
      </c>
      <c r="E3" s="16" t="s">
        <v>87</v>
      </c>
      <c r="F3" s="16" t="s">
        <v>88</v>
      </c>
      <c r="G3" s="16" t="s">
        <v>39</v>
      </c>
      <c r="H3" s="16" t="s">
        <v>21</v>
      </c>
      <c r="I3" s="16" t="s">
        <v>21</v>
      </c>
      <c r="J3" s="16" t="s">
        <v>89</v>
      </c>
      <c r="K3" s="16" t="s">
        <v>90</v>
      </c>
      <c r="L3" s="16" t="s">
        <v>91</v>
      </c>
      <c r="M3" s="17">
        <v>45505.0</v>
      </c>
      <c r="N3" s="16" t="s">
        <v>84</v>
      </c>
    </row>
    <row r="4">
      <c r="A4" s="16">
        <v>3.0</v>
      </c>
      <c r="B4" s="16" t="s">
        <v>92</v>
      </c>
      <c r="C4" s="16" t="s">
        <v>22</v>
      </c>
      <c r="D4" s="16" t="s">
        <v>93</v>
      </c>
      <c r="E4" s="16" t="s">
        <v>94</v>
      </c>
      <c r="F4" s="16" t="s">
        <v>95</v>
      </c>
      <c r="G4" s="16" t="s">
        <v>21</v>
      </c>
      <c r="H4" s="16" t="s">
        <v>39</v>
      </c>
      <c r="I4" s="16" t="s">
        <v>21</v>
      </c>
      <c r="J4" s="16" t="s">
        <v>96</v>
      </c>
      <c r="K4" s="16" t="s">
        <v>97</v>
      </c>
      <c r="L4" s="16" t="s">
        <v>98</v>
      </c>
      <c r="M4" s="17">
        <v>45505.0</v>
      </c>
      <c r="N4" s="16" t="s">
        <v>84</v>
      </c>
    </row>
    <row r="5">
      <c r="A5" s="16">
        <v>4.0</v>
      </c>
      <c r="B5" s="16" t="s">
        <v>99</v>
      </c>
      <c r="C5" s="16" t="s">
        <v>100</v>
      </c>
      <c r="D5" s="16" t="s">
        <v>101</v>
      </c>
      <c r="E5" s="16" t="s">
        <v>102</v>
      </c>
      <c r="F5" s="16" t="s">
        <v>103</v>
      </c>
      <c r="G5" s="16" t="s">
        <v>21</v>
      </c>
      <c r="H5" s="16" t="s">
        <v>39</v>
      </c>
      <c r="I5" s="16" t="s">
        <v>39</v>
      </c>
      <c r="J5" s="16" t="s">
        <v>104</v>
      </c>
      <c r="K5" s="16" t="s">
        <v>105</v>
      </c>
      <c r="L5" s="16" t="s">
        <v>106</v>
      </c>
      <c r="M5" s="17">
        <v>45505.0</v>
      </c>
      <c r="N5" s="16" t="s">
        <v>84</v>
      </c>
    </row>
    <row r="6">
      <c r="A6" s="16">
        <v>5.0</v>
      </c>
      <c r="B6" s="16" t="s">
        <v>107</v>
      </c>
      <c r="C6" s="16" t="s">
        <v>100</v>
      </c>
      <c r="D6" s="16" t="s">
        <v>108</v>
      </c>
      <c r="E6" s="16" t="s">
        <v>109</v>
      </c>
      <c r="F6" s="16" t="s">
        <v>110</v>
      </c>
      <c r="G6" s="16" t="s">
        <v>39</v>
      </c>
      <c r="H6" s="16" t="s">
        <v>21</v>
      </c>
      <c r="I6" s="16" t="s">
        <v>39</v>
      </c>
      <c r="J6" s="16" t="s">
        <v>111</v>
      </c>
      <c r="K6" s="16" t="s">
        <v>112</v>
      </c>
      <c r="L6" s="16" t="s">
        <v>18</v>
      </c>
      <c r="M6" s="17">
        <v>45505.0</v>
      </c>
      <c r="N6" s="16" t="s">
        <v>84</v>
      </c>
    </row>
    <row r="7">
      <c r="A7" s="18">
        <v>6.0</v>
      </c>
      <c r="B7" s="18" t="s">
        <v>113</v>
      </c>
      <c r="C7" s="18" t="s">
        <v>52</v>
      </c>
      <c r="D7" s="18" t="s">
        <v>114</v>
      </c>
      <c r="E7" s="18" t="s">
        <v>115</v>
      </c>
      <c r="F7" s="18" t="s">
        <v>110</v>
      </c>
      <c r="G7" s="18" t="s">
        <v>21</v>
      </c>
      <c r="H7" s="18" t="s">
        <v>21</v>
      </c>
      <c r="I7" s="18" t="s">
        <v>21</v>
      </c>
      <c r="J7" s="18" t="s">
        <v>116</v>
      </c>
      <c r="K7" s="18" t="s">
        <v>117</v>
      </c>
      <c r="L7" s="18" t="s">
        <v>83</v>
      </c>
      <c r="M7" s="19">
        <v>45561.0</v>
      </c>
      <c r="N7" s="18" t="s">
        <v>118</v>
      </c>
    </row>
    <row r="8">
      <c r="A8" s="20">
        <v>7.0</v>
      </c>
      <c r="B8" s="20" t="s">
        <v>119</v>
      </c>
      <c r="C8" s="20" t="s">
        <v>120</v>
      </c>
      <c r="D8" s="20" t="s">
        <v>78</v>
      </c>
      <c r="E8" s="20" t="s">
        <v>121</v>
      </c>
      <c r="F8" s="20" t="s">
        <v>122</v>
      </c>
      <c r="G8" s="20" t="s">
        <v>21</v>
      </c>
      <c r="H8" s="20" t="s">
        <v>21</v>
      </c>
      <c r="I8" s="20" t="s">
        <v>21</v>
      </c>
      <c r="J8" s="20" t="s">
        <v>123</v>
      </c>
      <c r="K8" s="20" t="s">
        <v>124</v>
      </c>
      <c r="L8" s="20" t="s">
        <v>83</v>
      </c>
      <c r="M8" s="21">
        <v>45569.0</v>
      </c>
      <c r="N8" s="20" t="s">
        <v>118</v>
      </c>
    </row>
  </sheetData>
  <dataValidations>
    <dataValidation type="list" allowBlank="1" showErrorMessage="1" sqref="N2:N8">
      <formula1>"Open,Closed"</formula1>
    </dataValidation>
    <dataValidation type="list" allowBlank="1" showErrorMessage="1" sqref="G2:I8">
      <formula1>"High,Medium,Low"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9.13"/>
    <col customWidth="1" min="3" max="3" width="15.88"/>
    <col customWidth="1" min="4" max="4" width="11.63"/>
    <col customWidth="1" min="5" max="5" width="16.0"/>
    <col customWidth="1" min="6" max="6" width="14.0"/>
    <col customWidth="1" min="7" max="7" width="12.75"/>
  </cols>
  <sheetData>
    <row r="1">
      <c r="A1" s="22" t="s">
        <v>1</v>
      </c>
      <c r="B1" s="22" t="s">
        <v>125</v>
      </c>
      <c r="C1" s="22" t="s">
        <v>126</v>
      </c>
      <c r="D1" s="22" t="s">
        <v>127</v>
      </c>
      <c r="E1" s="22" t="s">
        <v>128</v>
      </c>
      <c r="F1" s="22" t="s">
        <v>129</v>
      </c>
      <c r="G1" s="22" t="s">
        <v>130</v>
      </c>
      <c r="H1" s="22" t="s">
        <v>131</v>
      </c>
    </row>
    <row r="2">
      <c r="A2" s="23" t="s">
        <v>14</v>
      </c>
      <c r="B2" s="24" t="s">
        <v>15</v>
      </c>
      <c r="C2" s="23">
        <v>5.0</v>
      </c>
      <c r="D2" s="23">
        <v>4.0</v>
      </c>
      <c r="E2" s="23">
        <v>5.0</v>
      </c>
      <c r="F2" s="23">
        <v>4.0</v>
      </c>
      <c r="G2" s="25">
        <f t="shared" ref="G2:G8" si="1">SUM(C2:F2)</f>
        <v>18</v>
      </c>
      <c r="H2" s="16" t="s">
        <v>21</v>
      </c>
    </row>
    <row r="3">
      <c r="A3" s="23" t="s">
        <v>22</v>
      </c>
      <c r="B3" s="24" t="s">
        <v>15</v>
      </c>
      <c r="C3" s="23">
        <v>3.0</v>
      </c>
      <c r="D3" s="23">
        <v>2.0</v>
      </c>
      <c r="E3" s="23">
        <v>3.0</v>
      </c>
      <c r="F3" s="23">
        <v>4.0</v>
      </c>
      <c r="G3" s="25">
        <f t="shared" si="1"/>
        <v>12</v>
      </c>
      <c r="H3" s="16" t="s">
        <v>39</v>
      </c>
    </row>
    <row r="4">
      <c r="A4" s="23" t="s">
        <v>27</v>
      </c>
      <c r="B4" s="24" t="s">
        <v>132</v>
      </c>
      <c r="C4" s="23">
        <v>5.0</v>
      </c>
      <c r="D4" s="23">
        <v>5.0</v>
      </c>
      <c r="E4" s="23">
        <v>5.0</v>
      </c>
      <c r="F4" s="23">
        <v>2.0</v>
      </c>
      <c r="G4" s="25">
        <f t="shared" si="1"/>
        <v>17</v>
      </c>
      <c r="H4" s="16" t="s">
        <v>21</v>
      </c>
    </row>
    <row r="5">
      <c r="A5" s="23" t="s">
        <v>32</v>
      </c>
      <c r="B5" s="24" t="s">
        <v>133</v>
      </c>
      <c r="C5" s="23">
        <v>3.0</v>
      </c>
      <c r="D5" s="23">
        <v>2.0</v>
      </c>
      <c r="E5" s="23">
        <v>4.0</v>
      </c>
      <c r="F5" s="23">
        <v>4.0</v>
      </c>
      <c r="G5" s="25">
        <f t="shared" si="1"/>
        <v>13</v>
      </c>
      <c r="H5" s="16" t="s">
        <v>39</v>
      </c>
    </row>
    <row r="6">
      <c r="A6" s="23" t="s">
        <v>40</v>
      </c>
      <c r="B6" s="24" t="s">
        <v>133</v>
      </c>
      <c r="C6" s="23">
        <v>3.0</v>
      </c>
      <c r="D6" s="23">
        <v>3.0</v>
      </c>
      <c r="E6" s="23">
        <v>4.0</v>
      </c>
      <c r="F6" s="23">
        <v>4.0</v>
      </c>
      <c r="G6" s="25">
        <f t="shared" si="1"/>
        <v>14</v>
      </c>
      <c r="H6" s="16" t="s">
        <v>39</v>
      </c>
    </row>
    <row r="7">
      <c r="A7" s="23" t="s">
        <v>44</v>
      </c>
      <c r="B7" s="24" t="s">
        <v>134</v>
      </c>
      <c r="C7" s="23">
        <v>4.0</v>
      </c>
      <c r="D7" s="23">
        <v>2.0</v>
      </c>
      <c r="E7" s="23">
        <v>2.0</v>
      </c>
      <c r="F7" s="23">
        <v>1.0</v>
      </c>
      <c r="G7" s="25">
        <f t="shared" si="1"/>
        <v>9</v>
      </c>
      <c r="H7" s="16" t="s">
        <v>135</v>
      </c>
    </row>
    <row r="8">
      <c r="A8" s="23" t="s">
        <v>47</v>
      </c>
      <c r="B8" s="24" t="s">
        <v>136</v>
      </c>
      <c r="C8" s="23">
        <v>5.0</v>
      </c>
      <c r="D8" s="23">
        <v>3.0</v>
      </c>
      <c r="E8" s="23">
        <v>5.0</v>
      </c>
      <c r="F8" s="23">
        <v>2.0</v>
      </c>
      <c r="G8" s="25">
        <f t="shared" si="1"/>
        <v>15</v>
      </c>
      <c r="H8" s="16" t="s">
        <v>21</v>
      </c>
    </row>
    <row r="9">
      <c r="A9" s="26" t="s">
        <v>137</v>
      </c>
      <c r="B9" s="27" t="s">
        <v>133</v>
      </c>
      <c r="C9" s="26">
        <v>5.0</v>
      </c>
      <c r="D9" s="26">
        <v>5.0</v>
      </c>
      <c r="E9" s="26">
        <v>5.0</v>
      </c>
      <c r="F9" s="26">
        <v>5.0</v>
      </c>
      <c r="G9" s="26">
        <v>20.0</v>
      </c>
      <c r="H9" s="18" t="s">
        <v>21</v>
      </c>
    </row>
    <row r="10">
      <c r="A10" s="20" t="s">
        <v>58</v>
      </c>
      <c r="B10" s="28" t="s">
        <v>133</v>
      </c>
      <c r="C10" s="29">
        <v>5.0</v>
      </c>
      <c r="D10" s="29">
        <v>5.0</v>
      </c>
      <c r="E10" s="29">
        <v>5.0</v>
      </c>
      <c r="F10" s="29">
        <v>5.0</v>
      </c>
      <c r="G10" s="29">
        <v>20.0</v>
      </c>
      <c r="H10" s="20" t="s">
        <v>21</v>
      </c>
    </row>
  </sheetData>
  <dataValidations>
    <dataValidation type="list" allowBlank="1" showErrorMessage="1" sqref="C2:F10">
      <formula1>"1,2,3,4,5"</formula1>
    </dataValidation>
    <dataValidation type="list" allowBlank="1" showErrorMessage="1" sqref="H2:H10">
      <formula1>"High,Medium,Low"</formula1>
    </dataValidation>
    <dataValidation type="list" allowBlank="1" showErrorMessage="1" sqref="B2:B10">
      <formula1>"Server,Endpoint,Networking,Security,Infrastructure,Data"</formula1>
    </dataValidation>
  </dataValidations>
  <drawing r:id="rId1"/>
</worksheet>
</file>