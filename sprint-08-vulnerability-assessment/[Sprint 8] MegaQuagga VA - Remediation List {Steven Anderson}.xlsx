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ULNERABILITY ASSESSMENT" sheetId="1" r:id="rId5"/>
    <sheet state="visible" name="Vulns by Asset" sheetId="2" r:id="rId6"/>
    <sheet state="visible" name="Top Vulnerabilities" sheetId="3" r:id="rId7"/>
    <sheet state="visible" name="Severity Distribution" sheetId="4" r:id="rId8"/>
    <sheet state="visible" name="❤️‍🩹 Remediation Lis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<sst xmlns="http://schemas.openxmlformats.org/spreadsheetml/2006/main" count="161" uniqueCount="112">
  <si>
    <t>👑 Asset</t>
  </si>
  <si>
    <t>🌡️ Severity</t>
  </si>
  <si>
    <t>🏆 CVSS</t>
  </si>
  <si>
    <t>🏷️ Nessus ID</t>
  </si>
  <si>
    <t>👋🏼 Name</t>
  </si>
  <si>
    <t>🧨 CVE</t>
  </si>
  <si>
    <t>🛡️ Solution</t>
  </si>
  <si>
    <t>👾 Exploitability</t>
  </si>
  <si>
    <t>💥 Impact</t>
  </si>
  <si>
    <t>🎖️ Priority</t>
  </si>
  <si>
    <r>
      <rPr>
        <rFont val="Roboto Condensed"/>
        <color rgb="FF666666"/>
        <sz val="8.0"/>
      </rPr>
      <t xml:space="preserve">The </t>
    </r>
    <r>
      <rPr>
        <rFont val="Roboto Condensed"/>
        <b/>
        <color rgb="FF666666"/>
        <sz val="8.0"/>
      </rPr>
      <t>hostname</t>
    </r>
    <r>
      <rPr>
        <rFont val="Roboto Condensed"/>
        <color rgb="FF666666"/>
        <sz val="8.0"/>
      </rPr>
      <t xml:space="preserve"> or</t>
    </r>
    <r>
      <rPr>
        <rFont val="Roboto Condensed"/>
        <b/>
        <color rgb="FF666666"/>
        <sz val="8.0"/>
      </rPr>
      <t xml:space="preserve"> IP address</t>
    </r>
    <r>
      <rPr>
        <rFont val="Roboto Condensed"/>
        <color rgb="FF666666"/>
        <sz val="8.0"/>
      </rPr>
      <t xml:space="preserve"> of affected device.</t>
    </r>
  </si>
  <si>
    <t>How dangerous the vulnerability is.</t>
  </si>
  <si>
    <t>The numerical score showing severity (0-10).</t>
  </si>
  <si>
    <t>6-digit unique ID associated with the Nessus plugin for detecting this vuln.</t>
  </si>
  <si>
    <t>The title or description of the vulnerability.</t>
  </si>
  <si>
    <t>The Common Vulnerabilities and Exposures identifier for reference.</t>
  </si>
  <si>
    <t>Recommended actions to fix the issue.</t>
  </si>
  <si>
    <t>The numerical score showing exploitability (0-10).</t>
  </si>
  <si>
    <t>The numerical score showing impact (0-10).</t>
  </si>
  <si>
    <t>Auto-calculated priority</t>
  </si>
  <si>
    <r>
      <rPr>
        <rFont val="Roboto Condensed"/>
        <b/>
        <color rgb="FF999999"/>
        <sz val="7.0"/>
      </rPr>
      <t xml:space="preserve">· </t>
    </r>
    <r>
      <rPr>
        <rFont val="Roboto Condensed"/>
        <color rgb="FF999999"/>
        <sz val="7.0"/>
      </rPr>
      <t xml:space="preserve">The </t>
    </r>
    <r>
      <rPr>
        <rFont val="Roboto Condensed"/>
        <b/>
        <color rgb="FF999999"/>
        <sz val="7.0"/>
      </rPr>
      <t xml:space="preserve">Host Information </t>
    </r>
    <r>
      <rPr>
        <rFont val="Roboto Condensed"/>
        <color rgb="FF999999"/>
        <sz val="7.0"/>
      </rPr>
      <t>section.</t>
    </r>
  </si>
  <si>
    <r>
      <rPr>
        <rFont val="Roboto Condensed"/>
        <b/>
        <color rgb="FF999999"/>
        <sz val="7.0"/>
      </rPr>
      <t>· Risk Factor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</si>
  <si>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CVSS v3.0 Base Score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</si>
  <si>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Plugin ID</t>
    </r>
    <r>
      <rPr>
        <rFont val="Roboto Condensed"/>
        <color rgb="FF999999"/>
        <sz val="7.0"/>
      </rPr>
      <t xml:space="preserve"> field in the vulnerability's title.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</si>
  <si>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Plugin Name</t>
    </r>
    <r>
      <rPr>
        <rFont val="Roboto Condensed"/>
        <color rgb="FF999999"/>
        <sz val="7.0"/>
      </rPr>
      <t xml:space="preserve"> field in the vulnerability's title.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</si>
  <si>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 xml:space="preserve">References </t>
    </r>
    <r>
      <rPr>
        <rFont val="Roboto Condensed"/>
        <color rgb="FF999999"/>
        <sz val="7.0"/>
      </rPr>
      <t xml:space="preserve">section, under the </t>
    </r>
    <r>
      <rPr>
        <rFont val="Roboto Condensed"/>
        <b/>
        <color rgb="FF999999"/>
        <sz val="7.0"/>
      </rPr>
      <t>CVE</t>
    </r>
    <r>
      <rPr>
        <rFont val="Roboto Condensed"/>
        <color rgb="FF999999"/>
        <sz val="7.0"/>
      </rPr>
      <t xml:space="preserve"> field.</t>
    </r>
  </si>
  <si>
    <r>
      <rPr>
        <rFont val="Roboto Condensed"/>
        <color rgb="FF999999"/>
        <sz val="7.0"/>
      </rPr>
      <t xml:space="preserve">· </t>
    </r>
    <r>
      <rPr>
        <rFont val="Roboto Condensed"/>
        <b/>
        <color rgb="FF999999"/>
        <sz val="7.0"/>
      </rPr>
      <t>Solution</t>
    </r>
    <r>
      <rPr>
        <rFont val="Roboto Condensed"/>
        <color rgb="FF999999"/>
        <sz val="7.0"/>
      </rPr>
      <t xml:space="preserve"> section.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</si>
  <si>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 👾 Exploitability" task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</si>
  <si>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 💥 Impact" task</t>
    </r>
  </si>
  <si>
    <r>
      <rPr>
        <rFont val="Roboto Condensed"/>
        <b/>
        <color rgb="FFD5A6BD"/>
        <sz val="7.0"/>
      </rPr>
      <t>ANALYSIS:</t>
    </r>
    <r>
      <rPr>
        <rFont val="Roboto Condensed"/>
        <color rgb="FFD5A6BD"/>
        <sz val="7.0"/>
      </rPr>
      <t xml:space="preserve"> "Assessing your vulns' 🎖️ Priority ranking" task</t>
    </r>
  </si>
  <si>
    <t>10.20.30.10 (megaquagga.local)</t>
  </si>
  <si>
    <t>Critical</t>
  </si>
  <si>
    <t>201198</t>
  </si>
  <si>
    <t xml:space="preserve"> Apache 2.4.x &lt; 2.4.60 Multiple Vulnerabilities</t>
  </si>
  <si>
    <t>CVE        CVE-2024-36387
CVE        CVE-2024-38472
CVE        CVE-2024-38473
CVE        CVE-2024-38474
CVE        CVE-2024-38475
CVE        CVE-2024-38476
CVE        CVE-2024-38477
CVE        CVE-2024-39573
XREF        IAVA:2024-A-0378-S</t>
  </si>
  <si>
    <t xml:space="preserve">Upgrade to Apache version 2.4.60 or later.
</t>
  </si>
  <si>
    <t>200162</t>
  </si>
  <si>
    <t>PHP 8.2.x &lt; 8.2.20 Multiple Vulnerabilities</t>
  </si>
  <si>
    <t>CVE        CVE-2024-4577
CVE        CVE-2024-5458
CVE        CVE-2024-5585
XREF        CISA-KNOWN-EXPLOITED:2024/07/03
XREF        IAVA:2024-A-0330-S</t>
  </si>
  <si>
    <t xml:space="preserve">Upgrade to PHP version 8.2.20 or later.
</t>
  </si>
  <si>
    <t>207822</t>
  </si>
  <si>
    <t>PHP 8.2.x &lt; 8.2.24 Multiple Vulnerabilities</t>
  </si>
  <si>
    <t>CVE	CVE-2024-4577
CVE	CVE-2024-8925
CVE	CVE-2024-8926
CVE	CVE-2024-8927
CVE	CVE-2024-9026
XREF	CISA-KNOWN-EXPLOITED:2024/07/03
XREF	IAVA:2024-A-0609-S</t>
  </si>
  <si>
    <t>Upgrade to PHP version 8.2.24 or later.</t>
  </si>
  <si>
    <t>211671</t>
  </si>
  <si>
    <t>PHP 8.2.x &lt; 8.2.26 Multiple Vulnerabilities</t>
  </si>
  <si>
    <t>CVE	CVE-2024-8929
CVE	CVE-2024-8932
CVE	CVE-2024-11233
CVE	CVE-2024-11234
CVE	CVE-2024-11236
XREF	IAVA:2024-A-0763</t>
  </si>
  <si>
    <t xml:space="preserve">Upgrade to PHP version 8.2.26 or later.
</t>
  </si>
  <si>
    <t>179906</t>
  </si>
  <si>
    <t>PHP 8.2.x &lt; 8.2.9 Multiple Vulnerabilities</t>
  </si>
  <si>
    <t>CVE        CVE-2023-3823
CVE        CVE-2023-3824
XREF        IAVA:2023-A-0423-S</t>
  </si>
  <si>
    <t xml:space="preserve">Upgrade to PHP version 8.2.9 or later.
</t>
  </si>
  <si>
    <t>58987</t>
  </si>
  <si>
    <t>PHP Unsupported Version Detection</t>
  </si>
  <si>
    <t>XREF	IAVA:0001-A-0581</t>
  </si>
  <si>
    <t xml:space="preserve">Upgrade to a version of PHP that is currently supported.
</t>
  </si>
  <si>
    <t>10.20.30.12</t>
  </si>
  <si>
    <t>High</t>
  </si>
  <si>
    <t>205195</t>
  </si>
  <si>
    <t>Ubuntu 14.04 LTS / 16.04 LTS / 18.04 LTS / 20.04 LTS / 22.04 LTS / 24.04 LTS : Kerberos vulnerabilities (USN-6947-1)</t>
  </si>
  <si>
    <t>CVE	CVE-2024-37370
CVE	CVE-2024-37371
XREF	USN:6947-1</t>
  </si>
  <si>
    <t xml:space="preserve">Update the affected packages.
</t>
  </si>
  <si>
    <t>209121</t>
  </si>
  <si>
    <t>Ubuntu 14.04 LTS / 16.04 LTS / 18.04 LTS / 20.04 LTS / 22.04 LTS / 24.04 LTS : libarchive vulnerabilities (USN-7070-1)</t>
  </si>
  <si>
    <t>CVE	CVE-2022-36227
CVE	CVE-2024-48957
CVE	CVE-2024-48958
XREF	USN:7070-1
XREF	IAVB:2024-B-0154</t>
  </si>
  <si>
    <t>207059</t>
  </si>
  <si>
    <t>Ubuntu 14.04 LTS / 16.04 LTS / 18.04 LTS / 20.04 LTS / 24.04 LTS : Expat vulnerabilities (USN-7000-1)</t>
  </si>
  <si>
    <t>CVE	CVE-2024-45490
CVE	CVE-2024-45491
CVE	CVE-2024-45492
XREF	IAVA:2024-A-0543
XREF	USN:7000-1</t>
  </si>
  <si>
    <t xml:space="preserve">Update the affected packages.
</t>
  </si>
  <si>
    <t>211522</t>
  </si>
  <si>
    <t>Ubuntu 16.04 LTS / 18.04 LTS / 20.04 LTS / 22.04 LTS / 24.04 LTS : GLib vulnerability (USN-7114-1)</t>
  </si>
  <si>
    <t>CVE	CVE-2024-52533
XREF	USN:7114-1
XREF	IAVA:2024-A-0757</t>
  </si>
  <si>
    <t>Update the affected packages.</t>
  </si>
  <si>
    <t>213189</t>
  </si>
  <si>
    <t>Ubuntu 20.04 LTS / 22.04 LTS / 24.04 LTS / 24.10 : GStreamer vulnerability (USN-7174-1)</t>
  </si>
  <si>
    <t>CVE	CVE-2024-47606
XREF	USN:7174-1
XREF	IAVA:2024-A-0832</t>
  </si>
  <si>
    <t>205548</t>
  </si>
  <si>
    <t>Ubuntu 20.04 LTS / 22.04 LTS / 24.04 LTS : BusyBox vulnerabilities (USN-6961-1)</t>
  </si>
  <si>
    <t>CVE        CVE-2022-48174
CVE        CVE-2023-42363
CVE        CVE-2023-42364
CVE        CVE-2023-42365
XREF        USN:6961-1</t>
  </si>
  <si>
    <t>204924</t>
  </si>
  <si>
    <t>Ubuntu 20.04 LTS / 22.04 LTS / 24.04 LTS : OpenSSL vulnerabilities (USN-6937-1)</t>
  </si>
  <si>
    <t>CVE        CVE-2024-2511
CVE        CVE-2024-4603
CVE        CVE-2024-4741
CVE        CVE-2024-5535
XREF        IAVA:2024-A-0208-S
XREF        USN:6937-1
XREF        IAVA:2024-A-0321-S</t>
  </si>
  <si>
    <t>10.20.30.11</t>
  </si>
  <si>
    <t>205461</t>
  </si>
  <si>
    <t>KB5041578: Windows 10 version 1809 / Windows Server 2019 Security Update (August 2024)</t>
  </si>
  <si>
    <t>CVE	CVE-2022-2601
CVE	CVE-2022-3775
CVE	CVE-2023-40547
CVE	CVE-2024-21302
CVE	CVE-2024-29995
CVE	CVE-2024-37968
CVE	CVE-2024-38063
CVE	CVE-2024-38106
CVE	CVE-2024-38107
CVE	CVE-2024-38114
CVE	CVE-2024-38115
CVE	CVE-2024-38116
CVE	CVE-2024-38117
CVE	CVE-2024-38118
CVE	CVE-2024-38120
CVE	CVE-2024-38121
CVE	CVE-2024-38122
CVE	CVE-2024-38125
CVE	CVE-2024-38126
CVE	CVE-2024-38127
CVE	CVE-2024-38128
CVE	CVE-2024-38130
CVE	CVE-2024-38131
CVE	CVE-2024-38132
CVE	CVE-2024-38133
CVE	CVE-2024-38134
CVE	CVE-2024-38136
CVE	CVE-2024-38138
CVE	CVE-2024-38140
CVE	CVE-2024-38141
CVE	CVE-2024-38142
CVE	CVE-2024-38143
CVE	CVE-2024-38144
CVE	CVE-2024-38145
CVE	CVE-2024-38146
CVE	CVE-2024-38151
CVE	CVE-2024-38152
CVE	CVE-2024-38153
CVE	CVE-2024-38154
CVE	CVE-2024-38155
CVE	CVE-2024-38178
CVE	CVE-2024-38180
CVE	CVE-2024-38193
CVE	CVE-2024-38196
CVE	CVE-2024-38198
CVE	CVE-2024-38199
CVE	CVE-2024-38214
CVE	CVE-2024-38215
CVE	CVE-2024-38223
MSKB	5041578
XREF	MSFT:MS24-5041578
XREF	CISA-KNOWN-EXPLOITED:2024/09/03
XREF	IAVA:2024-A-0487
XREF	IAVA:2024-A-0500-S
XREF	IAVA:2024-A-0499-S</t>
  </si>
  <si>
    <t xml:space="preserve">Apply Security Update 5041578
</t>
  </si>
  <si>
    <t>206898</t>
  </si>
  <si>
    <t>KB5043050: Windows 10 version 1809 / Windows Server 2019 Security Update (September 2024)</t>
  </si>
  <si>
    <t>CVE	CVE-2024-21416
CVE	CVE-2024-30073
CVE	CVE-2024-38014
CVE	CVE-2024-38045
CVE	CVE-2024-38046
CVE	CVE-2024-38119
CVE	CVE-2024-38217
CVE	CVE-2024-38230
CVE	CVE-2024-38231
CVE	CVE-2024-38234
CVE	CVE-2024-38235
CVE	CVE-2024-38236
CVE	CVE-2024-38237
CVE	CVE-2024-38238
CVE	CVE-2024-38239
CVE	CVE-2024-38240
CVE	CVE-2024-38241
CVE	CVE-2024-38242
CVE	CVE-2024-38243
CVE	CVE-2024-38244
CVE	CVE-2024-38245
CVE	CVE-2024-38247
CVE	CVE-2024-38249
CVE	CVE-2024-38250
CVE	CVE-2024-38252
CVE	CVE-2024-38254
CVE	CVE-2024-38256
CVE	CVE-2024-38257
CVE	CVE-2024-38258
CVE	CVE-2024-38260
CVE	CVE-2024-38263
CVE	CVE-2024-43454
CVE	CVE-2024-43455
CVE	CVE-2024-43461
CVE	CVE-2024-43467
CVE	CVE-2024-43487
MSKB	5043050
XREF	MSFT:MS24-5043050
XREF	CISA-KNOWN-EXPLOITED:2024/10/07
XREF	CISA-KNOWN-EXPLOITED:2024/10/01
XREF	IAVA:2024-A-0575-S
XREF	IAVA:2024-A-0576-S</t>
  </si>
  <si>
    <t xml:space="preserve">Apply Security Update 5043050
</t>
  </si>
  <si>
    <t>208285</t>
  </si>
  <si>
    <t>KB5044277: Windows 10 version 1809 / Windows Server 2019 Security Update (October 2024)</t>
  </si>
  <si>
    <t>CVE	CVE-2024-6197
CVE	CVE-2024-20659
CVE	CVE-2024-30092
CVE	CVE-2024-37976
CVE	CVE-2024-37979
CVE	CVE-2024-37982
CVE	CVE-2024-37983
CVE	CVE-2024-38124
CVE	CVE-2024-38149
CVE	CVE-2024-38202
CVE	CVE-2024-38212
CVE	CVE-2024-38261
CVE	CVE-2024-38262
CVE	CVE-2024-38265
CVE	CVE-2024-43453
CVE	CVE-2024-43456
CVE	CVE-2024-43501
CVE	CVE-2024-43502
CVE	CVE-2024-43506
CVE	CVE-2024-43509
CVE	CVE-2024-43511
CVE	CVE-2024-43512
CVE	CVE-2024-43513
CVE	CVE-2024-43514
CVE	CVE-2024-43515
CVE	CVE-2024-43516
CVE	CVE-2024-43517
CVE	CVE-2024-43518
CVE	CVE-2024-43519
CVE	CVE-2024-43520
CVE	CVE-2024-43521
CVE	CVE-2024-43523
CVE	CVE-2024-43524
CVE	CVE-2024-43525
CVE	CVE-2024-43526
CVE	CVE-2024-43528
CVE	CVE-2024-43532
CVE	CVE-2024-43534
CVE	CVE-2024-43535
CVE	CVE-2024-43536
CVE	CVE-2024-43537
CVE	CVE-2024-43538
CVE	CVE-2024-43540
CVE	CVE-2024-43541
CVE	CVE-2024-43542
CVE	CVE-2024-43543
CVE	CVE-2024-43544
CVE	CVE-2024-43545
CVE	CVE-2024-43547
CVE	CVE-2024-43549
CVE	CVE-2024-43550
CVE	CVE-2024-43551
CVE	CVE-2024-43553
CVE	CVE-2024-43554
CVE	CVE-2024-43555
CVE	CVE-2024-43556
CVE	CVE-2024-43557
CVE	CVE-2024-43558
CVE	CVE-2024-43559
CVE	CVE-2024-43560
CVE	CVE-2024-43561
CVE	CVE-2024-43562
CVE	CVE-2024-43563
CVE	CVE-2024-43564
CVE	CVE-2024-43565
CVE	CVE-2024-43567
CVE	CVE-2024-43570
CVE	CVE-2024-43572
CVE	CVE-2024-43573
CVE	CVE-2024-43575
CVE	CVE-2024-43581
CVE	CVE-2024-43582
CVE	CVE-2024-43583
CVE	CVE-2024-43585
CVE	CVE-2024-43589
CVE	CVE-2024-43592
CVE	CVE-2024-43593
CVE	CVE-2024-43599
CVE	CVE-2024-43607
CVE	CVE-2024-43608
CVE	CVE-2024-43611
CVE	CVE-2024-43615
MSKB	5044277
XREF	MSFT:MS24-5044277
XREF	CISA-KNOWN-EXPLOITED:2024/10/29
XREF	IAVA:2024-A-0628
XREF	IAVA:2024-A-0631-S
XREF	IAVA:2024-A-0630-S</t>
  </si>
  <si>
    <t xml:space="preserve">Apply Security Update 5044277
</t>
  </si>
  <si>
    <t>210860</t>
  </si>
  <si>
    <t>KB5046615: Windows 10 version 1809 / Windows Server 2019 Security Update (November 2024)</t>
  </si>
  <si>
    <t>CVE	CVE-2024-38203
CVE	CVE-2024-43449
CVE	CVE-2024-43450
CVE	CVE-2024-43451
CVE	CVE-2024-43452
CVE	CVE-2024-43620
CVE	CVE-2024-43621
CVE	CVE-2024-43622
CVE	CVE-2024-43623
CVE	CVE-2024-43624
CVE	CVE-2024-43626
CVE	CVE-2024-43627
CVE	CVE-2024-43628
CVE	CVE-2024-43629
CVE	CVE-2024-43634
CVE	CVE-2024-43635
CVE	CVE-2024-43636
CVE	CVE-2024-43637
CVE	CVE-2024-43638
CVE	CVE-2024-43639
CVE	CVE-2024-43641
CVE	CVE-2024-43643
CVE	CVE-2024-43644
CVE	CVE-2024-43645
CVE	CVE-2024-43646
CVE	CVE-2024-49019
CVE	CVE-2024-49039
CVE	CVE-2024-49046
MSKB	5046615
XREF	MSFT:MS24-5046615
XREF	CISA-KNOWN-EXPLOITED:2024/12/03
XREF	IAVA:2024-A-0729-S
XREF	IAVA:2024-A-0730-S</t>
  </si>
  <si>
    <t xml:space="preserve">Apply Security Update 5046615
</t>
  </si>
  <si>
    <t>212239</t>
  </si>
  <si>
    <t xml:space="preserve"> KB5048661: Windows 10 version 1809 / Windows Server 2019 Security Update (December 2024)</t>
  </si>
  <si>
    <t>CVE	CVE-2024-49072
CVE	CVE-2024-49073
CVE	CVE-2024-49074
CVE	CVE-2024-49075
CVE	CVE-2024-49076
CVE	CVE-2024-49077
CVE	CVE-2024-49078
CVE	CVE-2024-49079
CVE	CVE-2024-49080
CVE	CVE-2024-49081
CVE	CVE-2024-49082
CVE	CVE-2024-49083
CVE	CVE-2024-49084
CVE	CVE-2024-49085
CVE	CVE-2024-49086
CVE	CVE-2024-49087
CVE	CVE-2024-49088
CVE	CVE-2024-49089
CVE	CVE-2024-49090
CVE	CVE-2024-49091
CVE	CVE-2024-49092
CVE	CVE-2024-49094
CVE	CVE-2024-49095
CVE	CVE-2024-49096
CVE	CVE-2024-49097
CVE	CVE-2024-49098
CVE	CVE-2024-49099
CVE	CVE-2024-49101
CVE	CVE-2024-49102
CVE	CVE-2024-49103
CVE	CVE-2024-49104
CVE	CVE-2024-49106
CVE	CVE-2024-49107
CVE	CVE-2024-49108
CVE	CVE-2024-49109
CVE	CVE-2024-49110
CVE	CVE-2024-49111
CVE	CVE-2024-49112
CVE	CVE-2024-49113
CVE	CVE-2024-49114
CVE	CVE-2024-49115
CVE	CVE-2024-49116
CVE	CVE-2024-49118
CVE	CVE-2024-49119
CVE	CVE-2024-49120
CVE	CVE-2024-49121
CVE	CVE-2024-49122
CVE	CVE-2024-49123
CVE	CVE-2024-49124
CVE	CVE-2024-49125
CVE	CVE-2024-49126
CVE	CVE-2024-49127
CVE	CVE-2024-49128
CVE	CVE-2024-49129
CVE	CVE-2024-49132
CVE	CVE-2024-49138
MSKB	5048661
XREF	MSFT:MS24-5048661
XREF	CISA-KNOWN-EXPLOITED:2024/12/31
XREF	IAVA:2024-A-0811
XREF	IAVA:2024-A-0812</t>
  </si>
  <si>
    <t xml:space="preserve">Apply Security Update 5048661
</t>
  </si>
  <si>
    <t>Asset</t>
  </si>
  <si>
    <t>Vuln count</t>
  </si>
  <si>
    <t>Grand Total</t>
  </si>
  <si>
    <t>Severity</t>
  </si>
  <si>
    <t>Count</t>
  </si>
  <si>
    <t>Medium</t>
  </si>
  <si>
    <t>Low</t>
  </si>
  <si>
    <t>Informational</t>
  </si>
  <si>
    <t>❤️‍🩹 Remediation 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</si>
</sst>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0">
    <font>
      <sz val="10.0"/>
      <color rgb="FF000000"/>
      <name val="Roboto"/>
      <scheme val="minor"/>
    </font>
    <font>
      <b/>
      <color rgb="FFFFFFFF"/>
      <name val="Roboto Condensed"/>
    </font>
    <font>
      <sz val="8.0"/>
      <color rgb="FF666666"/>
      <name val="Roboto Condensed"/>
    </font>
    <font>
      <sz val="8.0"/>
      <color rgb="FFA64D79"/>
      <name val="Roboto Condensed"/>
    </font>
    <font>
      <sz val="7.0"/>
      <color rgb="FF999999"/>
      <name val="Roboto Condensed"/>
    </font>
    <font>
      <sz val="7.0"/>
      <color rgb="FFD5A6BD"/>
      <name val="Roboto Condensed"/>
    </font>
    <font>
      <color theme="1"/>
      <name val="Roboto Condensed"/>
    </font>
    <font>
      <color rgb="FF333333"/>
      <name val="&quot;Open Sans&quot;"/>
    </font>
    <font>
      <b/>
      <color theme="1"/>
      <name val="Roboto Condensed"/>
    </font>
    <font>
      <sz val="10.0"/>
      <color rgb="FF000000"/>
      <name val="Roboto Condensed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" numFmtId="49" xfId="0" applyAlignment="1" applyFont="1" applyNumberFormat="1">
      <alignment readingOrder="0" shrinkToFit="0" vertical="top" wrapText="1"/>
    </xf>
    <xf borderId="0" fillId="2" fontId="1" numFmtId="164" xfId="0" applyAlignment="1" applyFont="1" applyNumberFormat="1">
      <alignment readingOrder="0" shrinkToFit="0" vertical="top" wrapText="1"/>
    </xf>
    <xf borderId="0" fillId="2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49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3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164" xfId="0" applyAlignment="1" applyFont="1" applyNumberFormat="1">
      <alignment readingOrder="0" shrinkToFit="0" vertical="top" wrapText="1"/>
    </xf>
    <xf borderId="0" fillId="0" fontId="4" numFmtId="49" xfId="0" applyAlignment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 shrinkToFit="0" vertical="top" wrapText="1"/>
    </xf>
    <xf borderId="0" fillId="0" fontId="5" numFmtId="164" xfId="0" applyAlignment="1" applyFont="1" applyNumberFormat="1">
      <alignment readingOrder="0" shrinkToFit="0" vertical="top" wrapText="1"/>
    </xf>
    <xf borderId="0" fillId="0" fontId="4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164" xfId="0" applyAlignment="1" applyFont="1" applyNumberFormat="1">
      <alignment readingOrder="0" shrinkToFit="0" vertical="top" wrapText="1"/>
    </xf>
    <xf borderId="0" fillId="0" fontId="6" numFmtId="49" xfId="0" applyAlignment="1" applyFont="1" applyNumberFormat="1">
      <alignment readingOrder="0"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7" numFmtId="164" xfId="0" applyAlignment="1" applyFont="1" applyNumberFormat="1">
      <alignment readingOrder="0" shrinkToFit="0" vertical="top" wrapText="1"/>
    </xf>
    <xf borderId="0" fillId="3" fontId="7" numFmtId="0" xfId="0" applyAlignment="1" applyFill="1" applyFont="1">
      <alignment readingOrder="0" shrinkToFit="0" wrapText="1"/>
    </xf>
    <xf borderId="0" fillId="0" fontId="6" numFmtId="0" xfId="0" applyFont="1"/>
    <xf borderId="0" fillId="2" fontId="1" numFmtId="0" xfId="0" applyAlignment="1" applyFont="1">
      <alignment shrinkToFit="0" vertical="top" wrapText="1"/>
    </xf>
    <xf borderId="0" fillId="2" fontId="1" numFmtId="49" xfId="0" applyAlignment="1" applyFont="1" applyNumberFormat="1">
      <alignment shrinkToFit="0" vertical="top" wrapText="1"/>
    </xf>
    <xf borderId="0" fillId="0" fontId="6" numFmtId="0" xfId="0" applyAlignment="1" applyFont="1">
      <alignment vertical="top"/>
    </xf>
    <xf borderId="0" fillId="0" fontId="6" numFmtId="49" xfId="0" applyAlignment="1" applyFont="1" applyNumberFormat="1">
      <alignment shrinkToFit="0" vertical="top" wrapText="1"/>
    </xf>
    <xf borderId="0" fillId="0" fontId="6" numFmtId="164" xfId="0" applyAlignment="1" applyFont="1" applyNumberFormat="1">
      <alignment horizontal="right" shrinkToFit="0" vertical="top" wrapText="1"/>
    </xf>
    <xf borderId="0" fillId="0" fontId="8" numFmtId="0" xfId="0" applyAlignment="1" applyFont="1">
      <alignment vertical="top"/>
    </xf>
    <xf borderId="0" fillId="0" fontId="6" numFmtId="49" xfId="0" applyAlignment="1" applyFont="1" applyNumberFormat="1">
      <alignment vertical="top"/>
    </xf>
    <xf borderId="0" fillId="0" fontId="6" numFmtId="164" xfId="0" applyAlignment="1" applyFont="1" applyNumberFormat="1">
      <alignment vertical="top"/>
    </xf>
    <xf borderId="0" fillId="0" fontId="8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9" numFmtId="49" xfId="0" applyAlignment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Vulnerability Distributed across Assets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explosion val="0"/>
            <c:spPr>
              <a:solidFill>
                <a:srgbClr val="00FF00"/>
              </a:solidFill>
            </c:spPr>
          </c:dPt>
          <c:dPt>
            <c:idx val="1"/>
            <c:spPr>
              <a:solidFill>
                <a:srgbClr val="0000FF"/>
              </a:solidFill>
            </c:spPr>
          </c:dPt>
          <c:dPt>
            <c:idx val="2"/>
            <c:spPr>
              <a:solidFill>
                <a:srgbClr val="FF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'Vulns by Asset'!$A$2:$A$4</c:f>
            </c:strRef>
          </c:cat>
          <c:val>
            <c:numRef>
              <c:f>'Vulns by Asset'!$B$2:$B$4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Critical Vulnerabilities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'Top Vulnerabilities'!$D$1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741B47"/>
              </a:solidFill>
              <a:ln cmpd="sng">
                <a:solidFill>
                  <a:srgbClr val="000000"/>
                </a:solidFill>
              </a:ln>
            </c:spPr>
          </c:dPt>
          <c:dPt>
            <c:idx val="8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9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10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dPt>
            <c:idx val="11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dPt>
            <c:idx val="12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dPt>
            <c:idx val="13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dPt>
            <c:idx val="14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dPt>
            <c:idx val="15"/>
            <c:spPr>
              <a:solidFill>
                <a:srgbClr val="F1C232"/>
              </a:solidFill>
              <a:ln cmpd="sng">
                <a:solidFill>
                  <a:srgbClr val="000000"/>
                </a:solidFill>
              </a:ln>
            </c:spPr>
          </c:dPt>
          <c:dPt>
            <c:idx val="16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dPt>
            <c:idx val="17"/>
            <c:spPr>
              <a:solidFill>
                <a:srgbClr val="0C343D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'Top Vulnerabilities'!$B$2:$B$1000</c:f>
            </c:strRef>
          </c:cat>
          <c:val>
            <c:numRef>
              <c:f>'Top Vulnerabilities'!$D$2:$D$1000</c:f>
              <c:numCache/>
            </c:numRef>
          </c:val>
        </c:ser>
        <c:ser>
          <c:idx val="1"/>
          <c:order val="1"/>
          <c:tx>
            <c:strRef>
              <c:f>'Top Vulnerabilities'!$C$1</c:f>
            </c:strRef>
          </c:tx>
          <c:cat>
            <c:strRef>
              <c:f>'Top Vulnerabilities'!$B$2:$B$1000</c:f>
            </c:strRef>
          </c:cat>
          <c:val>
            <c:numRef>
              <c:f>'Top Vulnerabilities'!$C$2:$C$1000</c:f>
              <c:numCache/>
            </c:numRef>
          </c:val>
        </c:ser>
        <c:ser>
          <c:idx val="2"/>
          <c:order val="2"/>
          <c:tx>
            <c:strRef>
              <c:f>'Top Vulnerabilities'!$D$1</c:f>
            </c:strRef>
          </c:tx>
          <c:cat>
            <c:strRef>
              <c:f>'Top Vulnerabilities'!$B$2:$B$1000</c:f>
            </c:strRef>
          </c:cat>
          <c:val>
            <c:numRef>
              <c:f>'Top Vulnerabilities'!$D$2:$D$1000</c:f>
              <c:numCache/>
            </c:numRef>
          </c:val>
        </c:ser>
        <c:ser>
          <c:idx val="3"/>
          <c:order val="3"/>
          <c:tx>
            <c:strRef>
              <c:f>'Top Vulnerabilities'!$E$1</c:f>
            </c:strRef>
          </c:tx>
          <c:cat>
            <c:strRef>
              <c:f>'Top Vulnerabilities'!$B$2:$B$1000</c:f>
            </c:strRef>
          </c:cat>
          <c:val>
            <c:numRef>
              <c:f>'Top Vulnerabilities'!$E$2:$E$1000</c:f>
              <c:numCache/>
            </c:numRef>
          </c:val>
        </c:ser>
        <c:ser>
          <c:idx val="4"/>
          <c:order val="4"/>
          <c:tx>
            <c:strRef>
              <c:f>'Top Vulnerabilities'!$F$1</c:f>
            </c:strRef>
          </c:tx>
          <c:cat>
            <c:strRef>
              <c:f>'Top Vulnerabilities'!$B$2:$B$1000</c:f>
            </c:strRef>
          </c:cat>
          <c:val>
            <c:numRef>
              <c:f>'Top Vulnerabilities'!$F$2:$F$1000</c:f>
              <c:numCache/>
            </c:numRef>
          </c:val>
        </c:ser>
        <c:ser>
          <c:idx val="5"/>
          <c:order val="5"/>
          <c:tx>
            <c:strRef>
              <c:f>'Top Vulnerabilities'!$G$1</c:f>
            </c:strRef>
          </c:tx>
          <c:cat>
            <c:strRef>
              <c:f>'Top Vulnerabilities'!$B$2:$B$1000</c:f>
            </c:strRef>
          </c:cat>
          <c:val>
            <c:numRef>
              <c:f>'Top Vulnerabilities'!$G$2:$G$1000</c:f>
              <c:numCache/>
            </c:numRef>
          </c:val>
        </c:ser>
        <c:ser>
          <c:idx val="6"/>
          <c:order val="6"/>
          <c:tx>
            <c:strRef>
              <c:f>'Top Vulnerabilities'!$H$1</c:f>
            </c:strRef>
          </c:tx>
          <c:cat>
            <c:strRef>
              <c:f>'Top Vulnerabilities'!$B$2:$B$1000</c:f>
            </c:strRef>
          </c:cat>
          <c:val>
            <c:numRef>
              <c:f>'Top Vulnerabilities'!$H$2:$H$1000</c:f>
              <c:numCache/>
            </c:numRef>
          </c:val>
        </c:ser>
        <c:ser>
          <c:idx val="7"/>
          <c:order val="7"/>
          <c:tx>
            <c:strRef>
              <c:f>'Top Vulnerabilities'!$I$1</c:f>
            </c:strRef>
          </c:tx>
          <c:cat>
            <c:strRef>
              <c:f>'Top Vulnerabilities'!$B$2:$B$1000</c:f>
            </c:strRef>
          </c:cat>
          <c:val>
            <c:numRef>
              <c:f>'Top Vulnerabilities'!$I$2:$I$1000</c:f>
              <c:numCache/>
            </c:numRef>
          </c:val>
        </c:ser>
        <c:ser>
          <c:idx val="8"/>
          <c:order val="8"/>
          <c:tx>
            <c:strRef>
              <c:f>'Top Vulnerabilities'!$J$1</c:f>
            </c:strRef>
          </c:tx>
          <c:cat>
            <c:strRef>
              <c:f>'Top Vulnerabilities'!$B$2:$B$1000</c:f>
            </c:strRef>
          </c:cat>
          <c:val>
            <c:numRef>
              <c:f>'Top Vulnerabilities'!$J$2:$J$1000</c:f>
              <c:numCache/>
            </c:numRef>
          </c:val>
        </c:ser>
        <c:ser>
          <c:idx val="9"/>
          <c:order val="9"/>
          <c:tx>
            <c:strRef>
              <c:f>'Top Vulnerabilities'!$K$1</c:f>
            </c:strRef>
          </c:tx>
          <c:cat>
            <c:strRef>
              <c:f>'Top Vulnerabilities'!$B$2:$B$1000</c:f>
            </c:strRef>
          </c:cat>
          <c:val>
            <c:numRef>
              <c:f>'Top Vulnerabilities'!$K$2:$K$1000</c:f>
              <c:numCache/>
            </c:numRef>
          </c:val>
        </c:ser>
        <c:ser>
          <c:idx val="10"/>
          <c:order val="10"/>
          <c:tx>
            <c:strRef>
              <c:f>'Top Vulnerabilities'!$L$1</c:f>
            </c:strRef>
          </c:tx>
          <c:cat>
            <c:strRef>
              <c:f>'Top Vulnerabilities'!$B$2:$B$1000</c:f>
            </c:strRef>
          </c:cat>
          <c:val>
            <c:numRef>
              <c:f>'Top Vulnerabilities'!$L$2:$L$1000</c:f>
              <c:numCache/>
            </c:numRef>
          </c:val>
        </c:ser>
        <c:ser>
          <c:idx val="11"/>
          <c:order val="11"/>
          <c:tx>
            <c:strRef>
              <c:f>'Top Vulnerabilities'!$M$1</c:f>
            </c:strRef>
          </c:tx>
          <c:cat>
            <c:strRef>
              <c:f>'Top Vulnerabilities'!$B$2:$B$1000</c:f>
            </c:strRef>
          </c:cat>
          <c:val>
            <c:numRef>
              <c:f>'Top Vulnerabilities'!$M$2:$M$1000</c:f>
              <c:numCache/>
            </c:numRef>
          </c:val>
        </c:ser>
        <c:ser>
          <c:idx val="12"/>
          <c:order val="12"/>
          <c:tx>
            <c:strRef>
              <c:f>'Top Vulnerabilities'!$N$1</c:f>
            </c:strRef>
          </c:tx>
          <c:cat>
            <c:strRef>
              <c:f>'Top Vulnerabilities'!$B$2:$B$1000</c:f>
            </c:strRef>
          </c:cat>
          <c:val>
            <c:numRef>
              <c:f>'Top Vulnerabilities'!$N$2:$N$1000</c:f>
              <c:numCache/>
            </c:numRef>
          </c:val>
        </c:ser>
        <c:ser>
          <c:idx val="13"/>
          <c:order val="13"/>
          <c:tx>
            <c:strRef>
              <c:f>'Top Vulnerabilities'!$O$1</c:f>
            </c:strRef>
          </c:tx>
          <c:cat>
            <c:strRef>
              <c:f>'Top Vulnerabilities'!$B$2:$B$1000</c:f>
            </c:strRef>
          </c:cat>
          <c:val>
            <c:numRef>
              <c:f>'Top Vulnerabilities'!$O$2:$O$1000</c:f>
              <c:numCache/>
            </c:numRef>
          </c:val>
        </c:ser>
        <c:ser>
          <c:idx val="14"/>
          <c:order val="14"/>
          <c:tx>
            <c:strRef>
              <c:f>'Top Vulnerabilities'!$P$1</c:f>
            </c:strRef>
          </c:tx>
          <c:cat>
            <c:strRef>
              <c:f>'Top Vulnerabilities'!$B$2:$B$1000</c:f>
            </c:strRef>
          </c:cat>
          <c:val>
            <c:numRef>
              <c:f>'Top Vulnerabilities'!$P$2:$P$1000</c:f>
              <c:numCache/>
            </c:numRef>
          </c:val>
        </c:ser>
        <c:ser>
          <c:idx val="15"/>
          <c:order val="15"/>
          <c:tx>
            <c:strRef>
              <c:f>'Top Vulnerabilities'!$Q$1</c:f>
            </c:strRef>
          </c:tx>
          <c:cat>
            <c:strRef>
              <c:f>'Top Vulnerabilities'!$B$2:$B$1000</c:f>
            </c:strRef>
          </c:cat>
          <c:val>
            <c:numRef>
              <c:f>'Top Vulnerabilities'!$Q$2:$Q$1000</c:f>
              <c:numCache/>
            </c:numRef>
          </c:val>
        </c:ser>
        <c:ser>
          <c:idx val="16"/>
          <c:order val="16"/>
          <c:tx>
            <c:strRef>
              <c:f>'Top Vulnerabilities'!$R$1</c:f>
            </c:strRef>
          </c:tx>
          <c:cat>
            <c:strRef>
              <c:f>'Top Vulnerabilities'!$B$2:$B$1000</c:f>
            </c:strRef>
          </c:cat>
          <c:val>
            <c:numRef>
              <c:f>'Top Vulnerabilities'!$R$2:$R$1000</c:f>
              <c:numCache/>
            </c:numRef>
          </c:val>
        </c:ser>
        <c:ser>
          <c:idx val="17"/>
          <c:order val="17"/>
          <c:tx>
            <c:strRef>
              <c:f>'Top Vulnerabilities'!$S$1</c:f>
            </c:strRef>
          </c:tx>
          <c:cat>
            <c:strRef>
              <c:f>'Top Vulnerabilities'!$B$2:$B$1000</c:f>
            </c:strRef>
          </c:cat>
          <c:val>
            <c:numRef>
              <c:f>'Top Vulnerabilities'!$S$2:$S$1000</c:f>
              <c:numCache/>
            </c:numRef>
          </c:val>
        </c:ser>
        <c:ser>
          <c:idx val="18"/>
          <c:order val="18"/>
          <c:tx>
            <c:strRef>
              <c:f>'Top Vulnerabilities'!$T$1</c:f>
            </c:strRef>
          </c:tx>
          <c:cat>
            <c:strRef>
              <c:f>'Top Vulnerabilities'!$B$2:$B$1000</c:f>
            </c:strRef>
          </c:cat>
          <c:val>
            <c:numRef>
              <c:f>'Top Vulnerabilities'!$T$2:$T$1000</c:f>
              <c:numCache/>
            </c:numRef>
          </c:val>
        </c:ser>
        <c:ser>
          <c:idx val="19"/>
          <c:order val="19"/>
          <c:tx>
            <c:strRef>
              <c:f>'Top Vulnerabilities'!$U$1</c:f>
            </c:strRef>
          </c:tx>
          <c:cat>
            <c:strRef>
              <c:f>'Top Vulnerabilities'!$B$2:$B$1000</c:f>
            </c:strRef>
          </c:cat>
          <c:val>
            <c:numRef>
              <c:f>'Top Vulnerabilities'!$U$2:$U$1000</c:f>
              <c:numCache/>
            </c:numRef>
          </c:val>
        </c:ser>
        <c:ser>
          <c:idx val="20"/>
          <c:order val="20"/>
          <c:tx>
            <c:strRef>
              <c:f>'Top Vulnerabilities'!$V$1</c:f>
            </c:strRef>
          </c:tx>
          <c:cat>
            <c:strRef>
              <c:f>'Top Vulnerabilities'!$B$2:$B$1000</c:f>
            </c:strRef>
          </c:cat>
          <c:val>
            <c:numRef>
              <c:f>'Top Vulnerabilities'!$V$2:$V$1000</c:f>
              <c:numCache/>
            </c:numRef>
          </c:val>
        </c:ser>
        <c:ser>
          <c:idx val="21"/>
          <c:order val="21"/>
          <c:tx>
            <c:strRef>
              <c:f>'Top Vulnerabilities'!$W$1</c:f>
            </c:strRef>
          </c:tx>
          <c:cat>
            <c:strRef>
              <c:f>'Top Vulnerabilities'!$B$2:$B$1000</c:f>
            </c:strRef>
          </c:cat>
          <c:val>
            <c:numRef>
              <c:f>'Top Vulnerabilities'!$W$2:$W$1000</c:f>
              <c:numCache/>
            </c:numRef>
          </c:val>
        </c:ser>
        <c:ser>
          <c:idx val="22"/>
          <c:order val="22"/>
          <c:tx>
            <c:strRef>
              <c:f>'Top Vulnerabilities'!$X$1</c:f>
            </c:strRef>
          </c:tx>
          <c:cat>
            <c:strRef>
              <c:f>'Top Vulnerabilities'!$B$2:$B$1000</c:f>
            </c:strRef>
          </c:cat>
          <c:val>
            <c:numRef>
              <c:f>'Top Vulnerabilities'!$X$2:$X$1000</c:f>
              <c:numCache/>
            </c:numRef>
          </c:val>
        </c:ser>
        <c:ser>
          <c:idx val="23"/>
          <c:order val="23"/>
          <c:tx>
            <c:strRef>
              <c:f>'Top Vulnerabilities'!$Y$1</c:f>
            </c:strRef>
          </c:tx>
          <c:cat>
            <c:strRef>
              <c:f>'Top Vulnerabilities'!$B$2:$B$1000</c:f>
            </c:strRef>
          </c:cat>
          <c:val>
            <c:numRef>
              <c:f>'Top Vulnerabilities'!$Y$2:$Y$1000</c:f>
              <c:numCache/>
            </c:numRef>
          </c:val>
        </c:ser>
        <c:ser>
          <c:idx val="24"/>
          <c:order val="24"/>
          <c:tx>
            <c:strRef>
              <c:f>'Top Vulnerabilities'!$Z$1</c:f>
            </c:strRef>
          </c:tx>
          <c:cat>
            <c:strRef>
              <c:f>'Top Vulnerabilities'!$B$2:$B$1000</c:f>
            </c:strRef>
          </c:cat>
          <c:val>
            <c:numRef>
              <c:f>'Top Vulnerabilities'!$Z$2:$Z$1000</c:f>
              <c:numCache/>
            </c:numRef>
          </c:val>
        </c:ser>
        <c:axId val="1033162042"/>
        <c:axId val="586755358"/>
      </c:bar3DChart>
      <c:catAx>
        <c:axId val="10331620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6755358"/>
      </c:catAx>
      <c:valAx>
        <c:axId val="5867553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31620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4</xdr:row>
      <xdr:rowOff>200025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18</xdr:row>
      <xdr:rowOff>504825</xdr:rowOff>
    </xdr:from>
    <xdr:ext cx="7115175" cy="4391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4:B21" sheet="VULNERABILITY ASSESSMENT"/>
  </cacheSource>
  <cacheFields>
    <cacheField name="10.20.30.10 (megaquagga.local)" numFmtId="0">
      <sharedItems>
        <s v="10.20.30.10 (megaquagga.local)"/>
        <s v="10.20.30.12"/>
        <s v="10.20.30.11"/>
      </sharedItems>
    </cacheField>
    <cacheField name="Critical" numFmtId="0">
      <sharedItems>
        <s v="Critical"/>
        <s v="High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Vulns by Asset" cacheId="0" dataCaption="" compact="0" compactData="0">
  <location ref="A1:B5" firstHeaderRow="0" firstDataRow="1" firstDataCol="0"/>
  <pivotFields>
    <pivotField name="Asset" axis="axisRow" compact="0" outline="0" multipleItemSelectionAllowed="1" showAll="0" sortType="ascending">
      <items>
        <item x="0"/>
        <item x="2"/>
        <item x="1"/>
        <item t="default"/>
      </items>
    </pivotField>
    <pivotField name="Critical" dataField="1" compact="0" outline="0" multipleItemSelectionAllowed="1" showAll="0">
      <items>
        <item x="0"/>
        <item x="1"/>
        <item t="default"/>
      </items>
    </pivotField>
  </pivotFields>
  <rowFields>
    <field x="0"/>
  </rowFields>
  <dataFields>
    <dataField name="Vuln count" fld="1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Roboto"/>
        <a:ea typeface="Roboto"/>
        <a:cs typeface="Roboto"/>
      </a:majorFont>
      <a:minorFont>
        <a:latin typeface="Roboto"/>
        <a:ea typeface="Roboto"/>
        <a:cs typeface="Robo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0.0"/>
    <col customWidth="1" min="2" max="2" width="17.5"/>
    <col customWidth="1" min="3" max="3" width="10.75"/>
    <col customWidth="1" min="4" max="4" width="13.0"/>
    <col customWidth="1" min="5" max="5" width="26.75"/>
    <col customWidth="1" min="6" max="6" width="19.88"/>
    <col customWidth="1" min="7" max="7" width="14.75"/>
    <col customWidth="1" min="8" max="9" width="14.13"/>
    <col customWidth="1" min="10" max="10" width="15.25"/>
    <col customWidth="1" min="11" max="11" width="28.25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33.0" customHeight="1">
      <c r="A2" s="6" t="s">
        <v>10</v>
      </c>
      <c r="B2" s="6" t="s">
        <v>11</v>
      </c>
      <c r="C2" s="7" t="s">
        <v>12</v>
      </c>
      <c r="D2" s="8" t="s">
        <v>13</v>
      </c>
      <c r="E2" s="6" t="s">
        <v>14</v>
      </c>
      <c r="F2" s="6" t="s">
        <v>15</v>
      </c>
      <c r="G2" s="6" t="s">
        <v>16</v>
      </c>
      <c r="H2" s="9" t="s">
        <v>17</v>
      </c>
      <c r="I2" s="9" t="s">
        <v>18</v>
      </c>
      <c r="J2" s="10" t="s">
        <v>19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</row>
    <row r="3" ht="27.75" customHeight="1">
      <c r="A3" s="12" t="s">
        <v>20</v>
      </c>
      <c r="B3" s="12" t="s">
        <v>21</v>
      </c>
      <c r="C3" s="13" t="s">
        <v>22</v>
      </c>
      <c r="D3" s="14" t="s">
        <v>23</v>
      </c>
      <c r="E3" s="12" t="s">
        <v>24</v>
      </c>
      <c r="F3" s="12" t="s">
        <v>25</v>
      </c>
      <c r="G3" s="12" t="s">
        <v>26</v>
      </c>
      <c r="H3" s="15" t="s">
        <v>27</v>
      </c>
      <c r="I3" s="15" t="s">
        <v>28</v>
      </c>
      <c r="J3" s="16" t="s">
        <v>29</v>
      </c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 ht="19.5" customHeight="1">
      <c r="A4" s="18" t="s">
        <v>30</v>
      </c>
      <c r="B4" s="18" t="s">
        <v>31</v>
      </c>
      <c r="C4" s="19">
        <v>9.8</v>
      </c>
      <c r="D4" s="20" t="s">
        <v>32</v>
      </c>
      <c r="E4" s="18" t="s">
        <v>33</v>
      </c>
      <c r="F4" s="18" t="s">
        <v>34</v>
      </c>
      <c r="G4" s="18" t="s">
        <v>35</v>
      </c>
      <c r="H4" s="19">
        <v>6.7</v>
      </c>
      <c r="I4" s="19">
        <v>8.8</v>
      </c>
      <c r="J4" s="21">
        <f t="shared" ref="J4:J24" si="1">IFERROR(AVERAGE(C4, I4, H4), "")</f>
        <v>8.433333333</v>
      </c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ht="19.5" customHeight="1">
      <c r="A5" s="18" t="s">
        <v>30</v>
      </c>
      <c r="B5" s="18" t="s">
        <v>31</v>
      </c>
      <c r="C5" s="19">
        <v>9.8</v>
      </c>
      <c r="D5" s="20" t="s">
        <v>36</v>
      </c>
      <c r="E5" s="18" t="s">
        <v>37</v>
      </c>
      <c r="F5" s="18" t="s">
        <v>38</v>
      </c>
      <c r="G5" s="18" t="s">
        <v>39</v>
      </c>
      <c r="H5" s="19">
        <v>9.6</v>
      </c>
      <c r="I5" s="19">
        <v>9.2</v>
      </c>
      <c r="J5" s="21">
        <f t="shared" si="1"/>
        <v>9.533333333</v>
      </c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ht="19.5" customHeight="1">
      <c r="A6" s="18" t="s">
        <v>30</v>
      </c>
      <c r="B6" s="18" t="s">
        <v>31</v>
      </c>
      <c r="C6" s="23">
        <v>9.8</v>
      </c>
      <c r="D6" s="20" t="s">
        <v>40</v>
      </c>
      <c r="E6" s="18" t="s">
        <v>41</v>
      </c>
      <c r="F6" s="18" t="s">
        <v>42</v>
      </c>
      <c r="G6" s="18" t="s">
        <v>43</v>
      </c>
      <c r="H6" s="19">
        <v>9.4</v>
      </c>
      <c r="I6" s="19">
        <v>9.5</v>
      </c>
      <c r="J6" s="21">
        <f t="shared" si="1"/>
        <v>9.566666667</v>
      </c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ht="19.5" customHeight="1">
      <c r="A7" s="18" t="s">
        <v>30</v>
      </c>
      <c r="B7" s="18" t="s">
        <v>31</v>
      </c>
      <c r="C7" s="19">
        <v>9.8</v>
      </c>
      <c r="D7" s="20" t="s">
        <v>44</v>
      </c>
      <c r="E7" s="18" t="s">
        <v>45</v>
      </c>
      <c r="F7" s="18" t="s">
        <v>46</v>
      </c>
      <c r="G7" s="24" t="s">
        <v>47</v>
      </c>
      <c r="H7" s="19">
        <v>6.8</v>
      </c>
      <c r="I7" s="19">
        <v>6.5</v>
      </c>
      <c r="J7" s="21">
        <f t="shared" si="1"/>
        <v>7.7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ht="19.5" customHeight="1">
      <c r="A8" s="18" t="s">
        <v>30</v>
      </c>
      <c r="B8" s="18" t="s">
        <v>31</v>
      </c>
      <c r="C8" s="19">
        <v>9.8</v>
      </c>
      <c r="D8" s="20" t="s">
        <v>48</v>
      </c>
      <c r="E8" s="18" t="s">
        <v>49</v>
      </c>
      <c r="F8" s="18" t="s">
        <v>50</v>
      </c>
      <c r="G8" s="24" t="s">
        <v>51</v>
      </c>
      <c r="H8" s="19">
        <v>7.1</v>
      </c>
      <c r="I8" s="19">
        <v>8.2</v>
      </c>
      <c r="J8" s="21">
        <f t="shared" si="1"/>
        <v>8.366666667</v>
      </c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ht="19.5" customHeight="1">
      <c r="A9" s="18" t="s">
        <v>30</v>
      </c>
      <c r="B9" s="18" t="s">
        <v>31</v>
      </c>
      <c r="C9" s="19">
        <v>10.0</v>
      </c>
      <c r="D9" s="20" t="s">
        <v>52</v>
      </c>
      <c r="E9" s="18" t="s">
        <v>53</v>
      </c>
      <c r="F9" s="18" t="s">
        <v>54</v>
      </c>
      <c r="G9" s="18" t="s">
        <v>55</v>
      </c>
      <c r="H9" s="19">
        <v>9.5</v>
      </c>
      <c r="I9" s="19">
        <v>10.0</v>
      </c>
      <c r="J9" s="21">
        <f t="shared" si="1"/>
        <v>9.833333333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ht="19.5" customHeight="1">
      <c r="A10" s="18" t="s">
        <v>56</v>
      </c>
      <c r="B10" s="18" t="s">
        <v>57</v>
      </c>
      <c r="C10" s="19">
        <v>9.1</v>
      </c>
      <c r="D10" s="20" t="s">
        <v>58</v>
      </c>
      <c r="E10" s="18" t="s">
        <v>59</v>
      </c>
      <c r="F10" s="18" t="s">
        <v>60</v>
      </c>
      <c r="G10" s="18" t="s">
        <v>61</v>
      </c>
      <c r="H10" s="19">
        <v>5.2</v>
      </c>
      <c r="I10" s="19">
        <v>6.5</v>
      </c>
      <c r="J10" s="21">
        <f t="shared" si="1"/>
        <v>6.933333333</v>
      </c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ht="19.5" customHeight="1">
      <c r="A11" s="18" t="s">
        <v>56</v>
      </c>
      <c r="B11" s="18" t="s">
        <v>31</v>
      </c>
      <c r="C11" s="19">
        <v>9.8</v>
      </c>
      <c r="D11" s="20" t="s">
        <v>62</v>
      </c>
      <c r="E11" s="18" t="s">
        <v>63</v>
      </c>
      <c r="F11" s="18" t="s">
        <v>64</v>
      </c>
      <c r="G11" s="18" t="s">
        <v>61</v>
      </c>
      <c r="H11" s="19">
        <v>5.3</v>
      </c>
      <c r="I11" s="19">
        <v>6.2</v>
      </c>
      <c r="J11" s="21">
        <f t="shared" si="1"/>
        <v>7.1</v>
      </c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ht="19.5" customHeight="1">
      <c r="A12" s="18" t="s">
        <v>56</v>
      </c>
      <c r="B12" s="18" t="s">
        <v>31</v>
      </c>
      <c r="C12" s="19">
        <v>9.8</v>
      </c>
      <c r="D12" s="20" t="s">
        <v>65</v>
      </c>
      <c r="E12" s="18" t="s">
        <v>66</v>
      </c>
      <c r="F12" s="18" t="s">
        <v>67</v>
      </c>
      <c r="G12" s="18" t="s">
        <v>68</v>
      </c>
      <c r="H12" s="19">
        <v>6.8</v>
      </c>
      <c r="I12" s="19">
        <v>6.7</v>
      </c>
      <c r="J12" s="21">
        <f t="shared" si="1"/>
        <v>7.766666667</v>
      </c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ht="19.5" customHeight="1">
      <c r="A13" s="18" t="s">
        <v>56</v>
      </c>
      <c r="B13" s="18" t="s">
        <v>31</v>
      </c>
      <c r="C13" s="19">
        <v>9.8</v>
      </c>
      <c r="D13" s="20" t="s">
        <v>69</v>
      </c>
      <c r="E13" s="18" t="s">
        <v>70</v>
      </c>
      <c r="F13" s="18" t="s">
        <v>71</v>
      </c>
      <c r="G13" s="18" t="s">
        <v>72</v>
      </c>
      <c r="H13" s="19">
        <v>6.7</v>
      </c>
      <c r="I13" s="19">
        <v>7.1</v>
      </c>
      <c r="J13" s="21">
        <f t="shared" si="1"/>
        <v>7.866666667</v>
      </c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ht="19.5" customHeight="1">
      <c r="A14" s="18" t="s">
        <v>56</v>
      </c>
      <c r="B14" s="18" t="s">
        <v>31</v>
      </c>
      <c r="C14" s="19">
        <v>9.8</v>
      </c>
      <c r="D14" s="20" t="s">
        <v>73</v>
      </c>
      <c r="E14" s="18" t="s">
        <v>74</v>
      </c>
      <c r="F14" s="18" t="s">
        <v>75</v>
      </c>
      <c r="G14" s="18" t="s">
        <v>72</v>
      </c>
      <c r="H14" s="19">
        <v>7.2</v>
      </c>
      <c r="I14" s="19">
        <v>7.5</v>
      </c>
      <c r="J14" s="21">
        <f t="shared" si="1"/>
        <v>8.166666667</v>
      </c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ht="19.5" customHeight="1">
      <c r="A15" s="18" t="s">
        <v>56</v>
      </c>
      <c r="B15" s="18" t="s">
        <v>31</v>
      </c>
      <c r="C15" s="19">
        <v>9.8</v>
      </c>
      <c r="D15" s="20" t="s">
        <v>76</v>
      </c>
      <c r="E15" s="18" t="s">
        <v>77</v>
      </c>
      <c r="F15" s="18" t="s">
        <v>78</v>
      </c>
      <c r="G15" s="18" t="s">
        <v>72</v>
      </c>
      <c r="H15" s="19">
        <v>5.9</v>
      </c>
      <c r="I15" s="19">
        <v>8.1</v>
      </c>
      <c r="J15" s="21">
        <f t="shared" si="1"/>
        <v>7.933333333</v>
      </c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ht="19.5" customHeight="1">
      <c r="A16" s="18" t="s">
        <v>56</v>
      </c>
      <c r="B16" s="18" t="s">
        <v>31</v>
      </c>
      <c r="C16" s="19">
        <v>9.1</v>
      </c>
      <c r="D16" s="20" t="s">
        <v>79</v>
      </c>
      <c r="E16" s="18" t="s">
        <v>80</v>
      </c>
      <c r="F16" s="18" t="s">
        <v>81</v>
      </c>
      <c r="G16" s="18" t="s">
        <v>72</v>
      </c>
      <c r="H16" s="19">
        <v>6.1</v>
      </c>
      <c r="I16" s="19">
        <v>9.2</v>
      </c>
      <c r="J16" s="21">
        <f t="shared" si="1"/>
        <v>8.133333333</v>
      </c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ht="19.5" customHeight="1">
      <c r="A17" s="18" t="s">
        <v>82</v>
      </c>
      <c r="B17" s="18" t="s">
        <v>31</v>
      </c>
      <c r="C17" s="19">
        <v>9.8</v>
      </c>
      <c r="D17" s="20" t="s">
        <v>83</v>
      </c>
      <c r="E17" s="18" t="s">
        <v>84</v>
      </c>
      <c r="F17" s="18" t="s">
        <v>85</v>
      </c>
      <c r="G17" s="18" t="s">
        <v>86</v>
      </c>
      <c r="H17" s="19">
        <v>9.5</v>
      </c>
      <c r="I17" s="19">
        <v>10.0</v>
      </c>
      <c r="J17" s="21">
        <f t="shared" si="1"/>
        <v>9.766666667</v>
      </c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ht="19.5" customHeight="1">
      <c r="A18" s="18" t="s">
        <v>82</v>
      </c>
      <c r="B18" s="18" t="s">
        <v>31</v>
      </c>
      <c r="C18" s="19">
        <v>9.8</v>
      </c>
      <c r="D18" s="20" t="s">
        <v>87</v>
      </c>
      <c r="E18" s="18" t="s">
        <v>88</v>
      </c>
      <c r="F18" s="18" t="s">
        <v>89</v>
      </c>
      <c r="G18" s="18" t="s">
        <v>90</v>
      </c>
      <c r="H18" s="19">
        <v>9.1</v>
      </c>
      <c r="I18" s="19">
        <v>9.5</v>
      </c>
      <c r="J18" s="21">
        <f t="shared" si="1"/>
        <v>9.466666667</v>
      </c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ht="19.5" customHeight="1">
      <c r="A19" s="18" t="s">
        <v>82</v>
      </c>
      <c r="B19" s="18" t="s">
        <v>31</v>
      </c>
      <c r="C19" s="19">
        <v>9.0</v>
      </c>
      <c r="D19" s="20" t="s">
        <v>91</v>
      </c>
      <c r="E19" s="18" t="s">
        <v>92</v>
      </c>
      <c r="F19" s="18" t="s">
        <v>93</v>
      </c>
      <c r="G19" s="18" t="s">
        <v>94</v>
      </c>
      <c r="H19" s="19">
        <v>9.2</v>
      </c>
      <c r="I19" s="19">
        <v>9.1</v>
      </c>
      <c r="J19" s="21">
        <f t="shared" si="1"/>
        <v>9.1</v>
      </c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ht="19.5" customHeight="1">
      <c r="A20" s="18" t="s">
        <v>82</v>
      </c>
      <c r="B20" s="18" t="s">
        <v>31</v>
      </c>
      <c r="C20" s="19">
        <v>9.8</v>
      </c>
      <c r="D20" s="20" t="s">
        <v>95</v>
      </c>
      <c r="E20" s="18" t="s">
        <v>96</v>
      </c>
      <c r="F20" s="18" t="s">
        <v>97</v>
      </c>
      <c r="G20" s="18" t="s">
        <v>98</v>
      </c>
      <c r="H20" s="19">
        <v>9.9</v>
      </c>
      <c r="I20" s="19">
        <v>9.7</v>
      </c>
      <c r="J20" s="21">
        <f t="shared" si="1"/>
        <v>9.8</v>
      </c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ht="19.5" customHeight="1">
      <c r="A21" s="18" t="s">
        <v>82</v>
      </c>
      <c r="B21" s="18" t="s">
        <v>31</v>
      </c>
      <c r="C21" s="19">
        <v>9.8</v>
      </c>
      <c r="D21" s="20" t="s">
        <v>99</v>
      </c>
      <c r="E21" s="18" t="s">
        <v>100</v>
      </c>
      <c r="F21" s="18" t="s">
        <v>101</v>
      </c>
      <c r="G21" s="18" t="s">
        <v>102</v>
      </c>
      <c r="H21" s="19">
        <v>9.5</v>
      </c>
      <c r="I21" s="19">
        <v>10.0</v>
      </c>
      <c r="J21" s="21">
        <f t="shared" si="1"/>
        <v>9.766666667</v>
      </c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ht="19.5" customHeight="1">
      <c r="A22" s="18"/>
      <c r="B22" s="18"/>
      <c r="C22" s="19"/>
      <c r="D22" s="20"/>
      <c r="E22" s="18"/>
      <c r="F22" s="18"/>
      <c r="G22" s="18"/>
      <c r="H22" s="19"/>
      <c r="I22" s="19"/>
      <c r="J22" s="21" t="str">
        <f t="shared" si="1"/>
        <v/>
      </c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ht="19.5" customHeight="1">
      <c r="A23" s="18"/>
      <c r="B23" s="18"/>
      <c r="C23" s="19"/>
      <c r="D23" s="20"/>
      <c r="E23" s="18"/>
      <c r="F23" s="18"/>
      <c r="G23" s="18"/>
      <c r="H23" s="19"/>
      <c r="I23" s="19"/>
      <c r="J23" s="21" t="str">
        <f t="shared" si="1"/>
        <v/>
      </c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ht="19.5" customHeight="1">
      <c r="A24" s="18"/>
      <c r="B24" s="18"/>
      <c r="C24" s="19"/>
      <c r="D24" s="20"/>
      <c r="E24" s="18"/>
      <c r="F24" s="18"/>
      <c r="G24" s="18"/>
      <c r="H24" s="19"/>
      <c r="I24" s="19"/>
      <c r="J24" s="21" t="str">
        <f t="shared" si="1"/>
        <v/>
      </c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</sheetData>
  <conditionalFormatting sqref="A1:Y24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A1:Y24">
    <cfRule type="expression" dxfId="0" priority="2">
      <formula>$B1="Critical"</formula>
    </cfRule>
  </conditionalFormatting>
  <conditionalFormatting sqref="A1:Y24">
    <cfRule type="expression" dxfId="1" priority="3">
      <formula>$B1="High"</formula>
    </cfRule>
  </conditionalFormatting>
  <conditionalFormatting sqref="A1:Y24">
    <cfRule type="expression" dxfId="2" priority="4">
      <formula>$B1="Medium"</formula>
    </cfRule>
  </conditionalFormatting>
  <conditionalFormatting sqref="A1:Y24">
    <cfRule type="expression" dxfId="3" priority="5">
      <formula>$B1="Low"</formula>
    </cfRule>
  </conditionalFormatting>
  <conditionalFormatting sqref="A1:Y24">
    <cfRule type="expression" dxfId="4" priority="6">
      <formula>$B1="Informational"</formula>
    </cfRule>
  </conditionalFormatting>
  <conditionalFormatting sqref="I1:I24">
    <cfRule type="colorScale" priority="7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H24">
    <cfRule type="colorScale" priority="8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H1:J24">
    <cfRule type="colorScale" priority="9">
      <colorScale>
        <cfvo type="min"/>
        <cfvo type="percentile" val="50"/>
        <cfvo type="max"/>
        <color rgb="FF57BB8A"/>
        <color rgb="FFFFD666"/>
        <color rgb="FFE67C73"/>
      </colorScale>
    </cfRule>
  </conditionalFormatting>
  <conditionalFormatting sqref="C1:C24">
    <cfRule type="colorScale" priority="10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ataValidations>
    <dataValidation type="list" allowBlank="1" showErrorMessage="1" sqref="B4:B24">
      <formula1>"Critical,High,Medium,Low,Informational"</formula1>
    </dataValidation>
    <dataValidation type="list" allowBlank="1" showErrorMessage="1" sqref="A4:A24">
      <formula1>"10.20.30.10 (megaquagga.local),10.20.30.11,10.20.30.12"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25"/>
    <col customWidth="1" min="2" max="2" width="8.13"/>
    <col customWidth="1" min="3" max="3" width="108.75"/>
  </cols>
  <sheetData>
    <row r="1">
      <c r="C1" s="25"/>
    </row>
    <row r="2">
      <c r="C2" s="25"/>
    </row>
    <row r="3">
      <c r="C3" s="25"/>
    </row>
    <row r="4">
      <c r="C4" s="25"/>
    </row>
    <row r="5">
      <c r="C5" s="25"/>
    </row>
    <row r="6">
      <c r="A6" s="25"/>
      <c r="B6" s="25"/>
      <c r="C6" s="25"/>
    </row>
    <row r="7" ht="263.25" customHeight="1">
      <c r="A7" s="25"/>
      <c r="B7" s="25"/>
      <c r="C7" s="25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5"/>
    <col customWidth="1" min="4" max="4" width="25.13"/>
    <col customWidth="1" min="5" max="5" width="87.75"/>
  </cols>
  <sheetData>
    <row r="1">
      <c r="A1" s="26" t="s">
        <v>3</v>
      </c>
      <c r="B1" s="27" t="s">
        <v>4</v>
      </c>
      <c r="C1" s="26" t="s">
        <v>9</v>
      </c>
      <c r="D1" s="5" t="s">
        <v>0</v>
      </c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tr">
        <f>IFERROR(__xludf.DUMMYFUNCTION("SORT(
    FILTER(
        {'VULNERABILITY ASSESSMENT'!D4:D1000, 'VULNERABILITY ASSESSMENT'!E4:E1000, 'VULNERABILITY ASSESSMENT'!J4:J1000, 'VULNERABILITY ASSESSMENT'!A4:A1000},
        LEN('VULNERABILITY ASSESSMENT'!D4:D1000) &gt; 0
    ),
    3, FALSE
)"),"58987")</f>
        <v>58987</v>
      </c>
      <c r="B2" s="29" t="str">
        <f>IFERROR(__xludf.DUMMYFUNCTION("""COMPUTED_VALUE"""),"PHP Unsupported Version Detection")</f>
        <v>PHP Unsupported Version Detection</v>
      </c>
      <c r="C2" s="30">
        <f>IFERROR(__xludf.DUMMYFUNCTION("""COMPUTED_VALUE"""),9.833333333333334)</f>
        <v>9.833333333</v>
      </c>
      <c r="D2" s="28" t="str">
        <f>IFERROR(__xludf.DUMMYFUNCTION("""COMPUTED_VALUE"""),"10.20.30.10 (megaquagga.local)")</f>
        <v>10.20.30.10 (megaquagga.local)</v>
      </c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>
      <c r="A3" s="29" t="str">
        <f>IFERROR(__xludf.DUMMYFUNCTION("""COMPUTED_VALUE"""),"210860")</f>
        <v>210860</v>
      </c>
      <c r="B3" s="29" t="str">
        <f>IFERROR(__xludf.DUMMYFUNCTION("""COMPUTED_VALUE"""),"KB5046615: Windows 10 version 1809 / Windows Server 2019 Security Update (November 2024)")</f>
        <v>KB5046615: Windows 10 version 1809 / Windows Server 2019 Security Update (November 2024)</v>
      </c>
      <c r="C3" s="30">
        <f>IFERROR(__xludf.DUMMYFUNCTION("""COMPUTED_VALUE"""),9.799999999999999)</f>
        <v>9.8</v>
      </c>
      <c r="D3" s="28" t="str">
        <f>IFERROR(__xludf.DUMMYFUNCTION("""COMPUTED_VALUE"""),"10.20.30.11")</f>
        <v>10.20.30.11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9" t="str">
        <f>IFERROR(__xludf.DUMMYFUNCTION("""COMPUTED_VALUE"""),"205461")</f>
        <v>205461</v>
      </c>
      <c r="B4" s="29" t="str">
        <f>IFERROR(__xludf.DUMMYFUNCTION("""COMPUTED_VALUE"""),"KB5041578: Windows 10 version 1809 / Windows Server 2019 Security Update (August 2024)")</f>
        <v>KB5041578: Windows 10 version 1809 / Windows Server 2019 Security Update (August 2024)</v>
      </c>
      <c r="C4" s="30">
        <f>IFERROR(__xludf.DUMMYFUNCTION("""COMPUTED_VALUE"""),9.766666666666667)</f>
        <v>9.766666667</v>
      </c>
      <c r="D4" s="28" t="str">
        <f>IFERROR(__xludf.DUMMYFUNCTION("""COMPUTED_VALUE"""),"10.20.30.11")</f>
        <v>10.20.30.11</v>
      </c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9" t="str">
        <f>IFERROR(__xludf.DUMMYFUNCTION("""COMPUTED_VALUE"""),"212239")</f>
        <v>212239</v>
      </c>
      <c r="B5" s="29" t="str">
        <f>IFERROR(__xludf.DUMMYFUNCTION("""COMPUTED_VALUE""")," KB5048661: Windows 10 version 1809 / Windows Server 2019 Security Update (December 2024)")</f>
        <v> KB5048661: Windows 10 version 1809 / Windows Server 2019 Security Update (December 2024)</v>
      </c>
      <c r="C5" s="30">
        <f>IFERROR(__xludf.DUMMYFUNCTION("""COMPUTED_VALUE"""),9.766666666666667)</f>
        <v>9.766666667</v>
      </c>
      <c r="D5" s="28" t="str">
        <f>IFERROR(__xludf.DUMMYFUNCTION("""COMPUTED_VALUE"""),"10.20.30.11")</f>
        <v>10.20.30.11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9" t="str">
        <f>IFERROR(__xludf.DUMMYFUNCTION("""COMPUTED_VALUE"""),"207822")</f>
        <v>207822</v>
      </c>
      <c r="B6" s="29" t="str">
        <f>IFERROR(__xludf.DUMMYFUNCTION("""COMPUTED_VALUE"""),"PHP 8.2.x &lt; 8.2.24 Multiple Vulnerabilities")</f>
        <v>PHP 8.2.x &lt; 8.2.24 Multiple Vulnerabilities</v>
      </c>
      <c r="C6" s="30">
        <f>IFERROR(__xludf.DUMMYFUNCTION("""COMPUTED_VALUE"""),9.566666666666668)</f>
        <v>9.566666667</v>
      </c>
      <c r="D6" s="28" t="str">
        <f>IFERROR(__xludf.DUMMYFUNCTION("""COMPUTED_VALUE"""),"10.20.30.10 (megaquagga.local)")</f>
        <v>10.20.30.10 (megaquagga.local)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2" t="str">
        <f>IFERROR(__xludf.DUMMYFUNCTION("""COMPUTED_VALUE"""),"200162")</f>
        <v>200162</v>
      </c>
      <c r="B7" s="22" t="str">
        <f>IFERROR(__xludf.DUMMYFUNCTION("""COMPUTED_VALUE"""),"PHP 8.2.x &lt; 8.2.20 Multiple Vulnerabilities")</f>
        <v>PHP 8.2.x &lt; 8.2.20 Multiple Vulnerabilities</v>
      </c>
      <c r="C7" s="33">
        <f>IFERROR(__xludf.DUMMYFUNCTION("""COMPUTED_VALUE"""),9.533333333333333)</f>
        <v>9.533333333</v>
      </c>
      <c r="D7" s="28" t="str">
        <f>IFERROR(__xludf.DUMMYFUNCTION("""COMPUTED_VALUE"""),"10.20.30.10 (megaquagga.local)")</f>
        <v>10.20.30.10 (megaquagga.local)</v>
      </c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2" t="str">
        <f>IFERROR(__xludf.DUMMYFUNCTION("""COMPUTED_VALUE"""),"206898")</f>
        <v>206898</v>
      </c>
      <c r="B8" s="22" t="str">
        <f>IFERROR(__xludf.DUMMYFUNCTION("""COMPUTED_VALUE"""),"KB5043050: Windows 10 version 1809 / Windows Server 2019 Security Update (September 2024)")</f>
        <v>KB5043050: Windows 10 version 1809 / Windows Server 2019 Security Update (September 2024)</v>
      </c>
      <c r="C8" s="33">
        <f>IFERROR(__xludf.DUMMYFUNCTION("""COMPUTED_VALUE"""),9.466666666666667)</f>
        <v>9.466666667</v>
      </c>
      <c r="D8" s="28" t="str">
        <f>IFERROR(__xludf.DUMMYFUNCTION("""COMPUTED_VALUE"""),"10.20.30.11")</f>
        <v>10.20.30.11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2" t="str">
        <f>IFERROR(__xludf.DUMMYFUNCTION("""COMPUTED_VALUE"""),"208285")</f>
        <v>208285</v>
      </c>
      <c r="B9" s="22" t="str">
        <f>IFERROR(__xludf.DUMMYFUNCTION("""COMPUTED_VALUE"""),"KB5044277: Windows 10 version 1809 / Windows Server 2019 Security Update (October 2024)")</f>
        <v>KB5044277: Windows 10 version 1809 / Windows Server 2019 Security Update (October 2024)</v>
      </c>
      <c r="C9" s="33">
        <f>IFERROR(__xludf.DUMMYFUNCTION("""COMPUTED_VALUE"""),9.1)</f>
        <v>9.1</v>
      </c>
      <c r="D9" s="28" t="str">
        <f>IFERROR(__xludf.DUMMYFUNCTION("""COMPUTED_VALUE"""),"10.20.30.11")</f>
        <v>10.20.30.11</v>
      </c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2" t="str">
        <f>IFERROR(__xludf.DUMMYFUNCTION("""COMPUTED_VALUE"""),"201198")</f>
        <v>201198</v>
      </c>
      <c r="B10" s="22" t="str">
        <f>IFERROR(__xludf.DUMMYFUNCTION("""COMPUTED_VALUE""")," Apache 2.4.x &lt; 2.4.60 Multiple Vulnerabilities")</f>
        <v> Apache 2.4.x &lt; 2.4.60 Multiple Vulnerabilities</v>
      </c>
      <c r="C10" s="33">
        <f>IFERROR(__xludf.DUMMYFUNCTION("""COMPUTED_VALUE"""),8.433333333333334)</f>
        <v>8.433333333</v>
      </c>
      <c r="D10" s="28" t="str">
        <f>IFERROR(__xludf.DUMMYFUNCTION("""COMPUTED_VALUE"""),"10.20.30.10 (megaquagga.local)")</f>
        <v>10.20.30.10 (megaquagga.local)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2" t="str">
        <f>IFERROR(__xludf.DUMMYFUNCTION("""COMPUTED_VALUE"""),"179906")</f>
        <v>179906</v>
      </c>
      <c r="B11" s="22" t="str">
        <f>IFERROR(__xludf.DUMMYFUNCTION("""COMPUTED_VALUE"""),"PHP 8.2.x &lt; 8.2.9 Multiple Vulnerabilities")</f>
        <v>PHP 8.2.x &lt; 8.2.9 Multiple Vulnerabilities</v>
      </c>
      <c r="C11" s="33">
        <f>IFERROR(__xludf.DUMMYFUNCTION("""COMPUTED_VALUE"""),8.366666666666667)</f>
        <v>8.366666667</v>
      </c>
      <c r="D11" s="28" t="str">
        <f>IFERROR(__xludf.DUMMYFUNCTION("""COMPUTED_VALUE"""),"10.20.30.10 (megaquagga.local)")</f>
        <v>10.20.30.10 (megaquagga.local)</v>
      </c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2" t="str">
        <f>IFERROR(__xludf.DUMMYFUNCTION("""COMPUTED_VALUE"""),"213189")</f>
        <v>213189</v>
      </c>
      <c r="B12" s="22" t="str">
        <f>IFERROR(__xludf.DUMMYFUNCTION("""COMPUTED_VALUE"""),"Ubuntu 20.04 LTS / 22.04 LTS / 24.04 LTS / 24.10 : GStreamer vulnerability (USN-7174-1)")</f>
        <v>Ubuntu 20.04 LTS / 22.04 LTS / 24.04 LTS / 24.10 : GStreamer vulnerability (USN-7174-1)</v>
      </c>
      <c r="C12" s="33">
        <f>IFERROR(__xludf.DUMMYFUNCTION("""COMPUTED_VALUE"""),8.166666666666666)</f>
        <v>8.166666667</v>
      </c>
      <c r="D12" s="28" t="str">
        <f>IFERROR(__xludf.DUMMYFUNCTION("""COMPUTED_VALUE"""),"10.20.30.12")</f>
        <v>10.20.30.12</v>
      </c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2" t="str">
        <f>IFERROR(__xludf.DUMMYFUNCTION("""COMPUTED_VALUE"""),"204924")</f>
        <v>204924</v>
      </c>
      <c r="B13" s="22" t="str">
        <f>IFERROR(__xludf.DUMMYFUNCTION("""COMPUTED_VALUE"""),"Ubuntu 20.04 LTS / 22.04 LTS / 24.04 LTS : OpenSSL vulnerabilities (USN-6937-1)")</f>
        <v>Ubuntu 20.04 LTS / 22.04 LTS / 24.04 LTS : OpenSSL vulnerabilities (USN-6937-1)</v>
      </c>
      <c r="C13" s="33">
        <f>IFERROR(__xludf.DUMMYFUNCTION("""COMPUTED_VALUE"""),8.133333333333333)</f>
        <v>8.133333333</v>
      </c>
      <c r="D13" s="28" t="str">
        <f>IFERROR(__xludf.DUMMYFUNCTION("""COMPUTED_VALUE"""),"10.20.30.12")</f>
        <v>10.20.30.12</v>
      </c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2" t="str">
        <f>IFERROR(__xludf.DUMMYFUNCTION("""COMPUTED_VALUE"""),"205548")</f>
        <v>205548</v>
      </c>
      <c r="B14" s="22" t="str">
        <f>IFERROR(__xludf.DUMMYFUNCTION("""COMPUTED_VALUE"""),"Ubuntu 20.04 LTS / 22.04 LTS / 24.04 LTS : BusyBox vulnerabilities (USN-6961-1)")</f>
        <v>Ubuntu 20.04 LTS / 22.04 LTS / 24.04 LTS : BusyBox vulnerabilities (USN-6961-1)</v>
      </c>
      <c r="C14" s="33">
        <f>IFERROR(__xludf.DUMMYFUNCTION("""COMPUTED_VALUE"""),7.933333333333333)</f>
        <v>7.933333333</v>
      </c>
      <c r="D14" s="28" t="str">
        <f>IFERROR(__xludf.DUMMYFUNCTION("""COMPUTED_VALUE"""),"10.20.30.12")</f>
        <v>10.20.30.12</v>
      </c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2" t="str">
        <f>IFERROR(__xludf.DUMMYFUNCTION("""COMPUTED_VALUE"""),"211522")</f>
        <v>211522</v>
      </c>
      <c r="B15" s="22" t="str">
        <f>IFERROR(__xludf.DUMMYFUNCTION("""COMPUTED_VALUE"""),"Ubuntu 16.04 LTS / 18.04 LTS / 20.04 LTS / 22.04 LTS / 24.04 LTS : GLib vulnerability (USN-7114-1)")</f>
        <v>Ubuntu 16.04 LTS / 18.04 LTS / 20.04 LTS / 22.04 LTS / 24.04 LTS : GLib vulnerability (USN-7114-1)</v>
      </c>
      <c r="C15" s="33">
        <f>IFERROR(__xludf.DUMMYFUNCTION("""COMPUTED_VALUE"""),7.866666666666666)</f>
        <v>7.866666667</v>
      </c>
      <c r="D15" s="28" t="str">
        <f>IFERROR(__xludf.DUMMYFUNCTION("""COMPUTED_VALUE"""),"10.20.30.12")</f>
        <v>10.20.30.12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2" t="str">
        <f>IFERROR(__xludf.DUMMYFUNCTION("""COMPUTED_VALUE"""),"207059")</f>
        <v>207059</v>
      </c>
      <c r="B16" s="22" t="str">
        <f>IFERROR(__xludf.DUMMYFUNCTION("""COMPUTED_VALUE"""),"Ubuntu 14.04 LTS / 16.04 LTS / 18.04 LTS / 20.04 LTS / 24.04 LTS : Expat vulnerabilities (USN-7000-1)")</f>
        <v>Ubuntu 14.04 LTS / 16.04 LTS / 18.04 LTS / 20.04 LTS / 24.04 LTS : Expat vulnerabilities (USN-7000-1)</v>
      </c>
      <c r="C16" s="33">
        <f>IFERROR(__xludf.DUMMYFUNCTION("""COMPUTED_VALUE"""),7.766666666666667)</f>
        <v>7.766666667</v>
      </c>
      <c r="D16" s="28" t="str">
        <f>IFERROR(__xludf.DUMMYFUNCTION("""COMPUTED_VALUE"""),"10.20.30.12")</f>
        <v>10.20.30.12</v>
      </c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2" t="str">
        <f>IFERROR(__xludf.DUMMYFUNCTION("""COMPUTED_VALUE"""),"211671")</f>
        <v>211671</v>
      </c>
      <c r="B17" s="22" t="str">
        <f>IFERROR(__xludf.DUMMYFUNCTION("""COMPUTED_VALUE"""),"PHP 8.2.x &lt; 8.2.26 Multiple Vulnerabilities")</f>
        <v>PHP 8.2.x &lt; 8.2.26 Multiple Vulnerabilities</v>
      </c>
      <c r="C17" s="33">
        <f>IFERROR(__xludf.DUMMYFUNCTION("""COMPUTED_VALUE"""),7.7)</f>
        <v>7.7</v>
      </c>
      <c r="D17" s="28" t="str">
        <f>IFERROR(__xludf.DUMMYFUNCTION("""COMPUTED_VALUE"""),"10.20.30.10 (megaquagga.local)")</f>
        <v>10.20.30.10 (megaquagga.local)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2" t="str">
        <f>IFERROR(__xludf.DUMMYFUNCTION("""COMPUTED_VALUE"""),"209121")</f>
        <v>209121</v>
      </c>
      <c r="B18" s="22" t="str">
        <f>IFERROR(__xludf.DUMMYFUNCTION("""COMPUTED_VALUE"""),"Ubuntu 14.04 LTS / 16.04 LTS / 18.04 LTS / 20.04 LTS / 22.04 LTS / 24.04 LTS : libarchive vulnerabilities (USN-7070-1)")</f>
        <v>Ubuntu 14.04 LTS / 16.04 LTS / 18.04 LTS / 20.04 LTS / 22.04 LTS / 24.04 LTS : libarchive vulnerabilities (USN-7070-1)</v>
      </c>
      <c r="C18" s="33">
        <f>IFERROR(__xludf.DUMMYFUNCTION("""COMPUTED_VALUE"""),7.1000000000000005)</f>
        <v>7.1</v>
      </c>
      <c r="D18" s="28" t="str">
        <f>IFERROR(__xludf.DUMMYFUNCTION("""COMPUTED_VALUE"""),"10.20.30.12")</f>
        <v>10.20.30.12</v>
      </c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2" t="str">
        <f>IFERROR(__xludf.DUMMYFUNCTION("""COMPUTED_VALUE"""),"205195")</f>
        <v>205195</v>
      </c>
      <c r="B19" s="22" t="str">
        <f>IFERROR(__xludf.DUMMYFUNCTION("""COMPUTED_VALUE"""),"Ubuntu 14.04 LTS / 16.04 LTS / 18.04 LTS / 20.04 LTS / 22.04 LTS / 24.04 LTS : Kerberos vulnerabilities (USN-6947-1)")</f>
        <v>Ubuntu 14.04 LTS / 16.04 LTS / 18.04 LTS / 20.04 LTS / 22.04 LTS / 24.04 LTS : Kerberos vulnerabilities (USN-6947-1)</v>
      </c>
      <c r="C19" s="33">
        <f>IFERROR(__xludf.DUMMYFUNCTION("""COMPUTED_VALUE"""),6.933333333333334)</f>
        <v>6.933333333</v>
      </c>
      <c r="D19" s="28" t="str">
        <f>IFERROR(__xludf.DUMMYFUNCTION("""COMPUTED_VALUE"""),"10.20.30.12")</f>
        <v>10.20.30.12</v>
      </c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22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28"/>
      <c r="B21" s="22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28"/>
      <c r="B22" s="22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28"/>
      <c r="B23" s="22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28"/>
      <c r="B24" s="22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28"/>
      <c r="B25" s="22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28"/>
      <c r="B26" s="22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8"/>
      <c r="B27" s="22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8"/>
      <c r="B28" s="22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8"/>
      <c r="B29" s="22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28"/>
      <c r="B30" s="22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28"/>
      <c r="B31" s="22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28"/>
      <c r="B32" s="22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28"/>
      <c r="B33" s="22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28"/>
      <c r="B34" s="22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28"/>
      <c r="B35" s="22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28"/>
      <c r="B36" s="22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28"/>
      <c r="B37" s="22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28"/>
      <c r="B38" s="22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28"/>
      <c r="B39" s="22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28"/>
      <c r="B40" s="22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28"/>
      <c r="B41" s="22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28"/>
      <c r="B42" s="22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28"/>
      <c r="B43" s="22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28"/>
      <c r="B44" s="22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28"/>
      <c r="B45" s="22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28"/>
      <c r="B46" s="22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28"/>
      <c r="B47" s="22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28"/>
      <c r="B48" s="22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28"/>
      <c r="B49" s="22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28"/>
      <c r="B50" s="22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28"/>
      <c r="B51" s="22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28"/>
      <c r="B52" s="22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28"/>
      <c r="B53" s="22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28"/>
      <c r="B54" s="22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28"/>
      <c r="B55" s="22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28"/>
      <c r="B56" s="22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28"/>
      <c r="B57" s="22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28"/>
      <c r="B58" s="22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28"/>
      <c r="B59" s="22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28"/>
      <c r="B60" s="22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28"/>
      <c r="B61" s="22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28"/>
      <c r="B62" s="22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28"/>
      <c r="B63" s="22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28"/>
      <c r="B64" s="22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28"/>
      <c r="B65" s="22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28"/>
      <c r="B66" s="22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28"/>
      <c r="B67" s="22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28"/>
      <c r="B68" s="22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28"/>
      <c r="B69" s="22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28"/>
      <c r="B70" s="22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28"/>
      <c r="B71" s="22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28"/>
      <c r="B72" s="22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28"/>
      <c r="B73" s="22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28"/>
      <c r="B74" s="22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28"/>
      <c r="B75" s="22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28"/>
      <c r="B76" s="22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28"/>
      <c r="B77" s="22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28"/>
      <c r="B78" s="22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28"/>
      <c r="B79" s="22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28"/>
      <c r="B80" s="22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28"/>
      <c r="B81" s="22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28"/>
      <c r="B82" s="22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28"/>
      <c r="B83" s="22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28"/>
      <c r="B84" s="22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28"/>
      <c r="B85" s="22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28"/>
      <c r="B86" s="22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28"/>
      <c r="B87" s="22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28"/>
      <c r="B88" s="22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28"/>
      <c r="B89" s="22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28"/>
      <c r="B90" s="22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28"/>
      <c r="B91" s="22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28"/>
      <c r="B92" s="22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28"/>
      <c r="B93" s="22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28"/>
      <c r="B94" s="22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28"/>
      <c r="B95" s="22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28"/>
      <c r="B96" s="22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28"/>
      <c r="B97" s="22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28"/>
      <c r="B98" s="22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28"/>
      <c r="B99" s="22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28"/>
      <c r="B100" s="22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28"/>
      <c r="B101" s="22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28"/>
      <c r="B102" s="22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28"/>
      <c r="B103" s="22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28"/>
      <c r="B104" s="22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28"/>
      <c r="B105" s="22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28"/>
      <c r="B106" s="22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28"/>
      <c r="B107" s="22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28"/>
      <c r="B108" s="22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28"/>
      <c r="B109" s="22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28"/>
      <c r="B110" s="22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28"/>
      <c r="B111" s="22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28"/>
      <c r="B112" s="22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28"/>
      <c r="B113" s="22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28"/>
      <c r="B114" s="22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28"/>
      <c r="B115" s="22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28"/>
      <c r="B116" s="22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28"/>
      <c r="B117" s="22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28"/>
      <c r="B118" s="22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28"/>
      <c r="B119" s="22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28"/>
      <c r="B120" s="22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28"/>
      <c r="B121" s="22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28"/>
      <c r="B122" s="22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28"/>
      <c r="B123" s="22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28"/>
      <c r="B124" s="22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28"/>
      <c r="B125" s="22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28"/>
      <c r="B126" s="22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28"/>
      <c r="B127" s="22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28"/>
      <c r="B128" s="22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28"/>
      <c r="B129" s="22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28"/>
      <c r="B130" s="22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28"/>
      <c r="B131" s="22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28"/>
      <c r="B132" s="22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28"/>
      <c r="B133" s="22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28"/>
      <c r="B134" s="22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28"/>
      <c r="B135" s="22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28"/>
      <c r="B136" s="22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28"/>
      <c r="B137" s="22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28"/>
      <c r="B138" s="22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28"/>
      <c r="B139" s="22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28"/>
      <c r="B140" s="22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28"/>
      <c r="B141" s="22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28"/>
      <c r="B142" s="22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28"/>
      <c r="B143" s="22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28"/>
      <c r="B144" s="22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28"/>
      <c r="B145" s="22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28"/>
      <c r="B146" s="22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28"/>
      <c r="B147" s="22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28"/>
      <c r="B148" s="22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28"/>
      <c r="B149" s="22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28"/>
      <c r="B150" s="22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28"/>
      <c r="B151" s="22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28"/>
      <c r="B152" s="22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28"/>
      <c r="B153" s="22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28"/>
      <c r="B154" s="22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28"/>
      <c r="B155" s="22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28"/>
      <c r="B156" s="22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28"/>
      <c r="B157" s="22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28"/>
      <c r="B158" s="22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28"/>
      <c r="B159" s="22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28"/>
      <c r="B160" s="22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28"/>
      <c r="B161" s="22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28"/>
      <c r="B162" s="22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28"/>
      <c r="B163" s="22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28"/>
      <c r="B164" s="22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28"/>
      <c r="B165" s="22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28"/>
      <c r="B166" s="22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28"/>
      <c r="B167" s="22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28"/>
      <c r="B168" s="22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28"/>
      <c r="B169" s="22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28"/>
      <c r="B170" s="22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28"/>
      <c r="B171" s="22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28"/>
      <c r="B172" s="22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28"/>
      <c r="B173" s="22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28"/>
      <c r="B174" s="22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28"/>
      <c r="B175" s="22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28"/>
      <c r="B176" s="22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28"/>
      <c r="B177" s="22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28"/>
      <c r="B178" s="22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28"/>
      <c r="B179" s="22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28"/>
      <c r="B180" s="22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28"/>
      <c r="B181" s="22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28"/>
      <c r="B182" s="22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28"/>
      <c r="B183" s="22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28"/>
      <c r="B184" s="22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28"/>
      <c r="B185" s="22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28"/>
      <c r="B186" s="22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28"/>
      <c r="B187" s="22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28"/>
      <c r="B188" s="22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28"/>
      <c r="B189" s="22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28"/>
      <c r="B190" s="22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28"/>
      <c r="B191" s="22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28"/>
      <c r="B192" s="22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28"/>
      <c r="B193" s="22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28"/>
      <c r="B194" s="22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28"/>
      <c r="B195" s="22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28"/>
      <c r="B196" s="22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28"/>
      <c r="B197" s="22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28"/>
      <c r="B198" s="22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28"/>
      <c r="B199" s="22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28"/>
      <c r="B200" s="22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28"/>
      <c r="B201" s="22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28"/>
      <c r="B202" s="22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28"/>
      <c r="B203" s="22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28"/>
      <c r="B204" s="22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28"/>
      <c r="B205" s="22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28"/>
      <c r="B206" s="22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28"/>
      <c r="B207" s="22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28"/>
      <c r="B208" s="22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28"/>
      <c r="B209" s="22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28"/>
      <c r="B210" s="22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28"/>
      <c r="B211" s="22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28"/>
      <c r="B212" s="22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28"/>
      <c r="B213" s="22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28"/>
      <c r="B214" s="22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28"/>
      <c r="B215" s="22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28"/>
      <c r="B216" s="22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28"/>
      <c r="B217" s="22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28"/>
      <c r="B218" s="22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28"/>
      <c r="B219" s="22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28"/>
      <c r="B220" s="22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28"/>
      <c r="B221" s="22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28"/>
      <c r="B222" s="22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28"/>
      <c r="B223" s="22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28"/>
      <c r="B224" s="22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28"/>
      <c r="B225" s="22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28"/>
      <c r="B226" s="22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28"/>
      <c r="B227" s="22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28"/>
      <c r="B228" s="22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28"/>
      <c r="B229" s="22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28"/>
      <c r="B230" s="22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28"/>
      <c r="B231" s="22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28"/>
      <c r="B232" s="22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28"/>
      <c r="B233" s="22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28"/>
      <c r="B234" s="22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28"/>
      <c r="B235" s="22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28"/>
      <c r="B236" s="22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28"/>
      <c r="B237" s="22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28"/>
      <c r="B238" s="22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28"/>
      <c r="B239" s="22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28"/>
      <c r="B240" s="22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28"/>
      <c r="B241" s="22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28"/>
      <c r="B242" s="22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28"/>
      <c r="B243" s="22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28"/>
      <c r="B244" s="22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28"/>
      <c r="B245" s="22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28"/>
      <c r="B246" s="22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28"/>
      <c r="B247" s="22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28"/>
      <c r="B248" s="22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28"/>
      <c r="B249" s="22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28"/>
      <c r="B250" s="22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28"/>
      <c r="B251" s="22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28"/>
      <c r="B252" s="22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28"/>
      <c r="B253" s="22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28"/>
      <c r="B254" s="22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28"/>
      <c r="B255" s="22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28"/>
      <c r="B256" s="22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28"/>
      <c r="B257" s="22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28"/>
      <c r="B258" s="22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28"/>
      <c r="B259" s="22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28"/>
      <c r="B260" s="22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28"/>
      <c r="B261" s="22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28"/>
      <c r="B262" s="22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28"/>
      <c r="B263" s="22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28"/>
      <c r="B264" s="22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28"/>
      <c r="B265" s="22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28"/>
      <c r="B266" s="22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28"/>
      <c r="B267" s="22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28"/>
      <c r="B268" s="22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28"/>
      <c r="B269" s="22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28"/>
      <c r="B270" s="22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28"/>
      <c r="B271" s="22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28"/>
      <c r="B272" s="22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28"/>
      <c r="B273" s="22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28"/>
      <c r="B274" s="22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28"/>
      <c r="B275" s="22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28"/>
      <c r="B276" s="22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28"/>
      <c r="B277" s="22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28"/>
      <c r="B278" s="22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28"/>
      <c r="B279" s="22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28"/>
      <c r="B280" s="22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28"/>
      <c r="B281" s="22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28"/>
      <c r="B282" s="22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28"/>
      <c r="B283" s="22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28"/>
      <c r="B284" s="22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28"/>
      <c r="B285" s="22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28"/>
      <c r="B286" s="22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28"/>
      <c r="B287" s="22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28"/>
      <c r="B288" s="22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28"/>
      <c r="B289" s="22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28"/>
      <c r="B290" s="22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28"/>
      <c r="B291" s="22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28"/>
      <c r="B292" s="22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28"/>
      <c r="B293" s="22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28"/>
      <c r="B294" s="22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28"/>
      <c r="B295" s="22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28"/>
      <c r="B296" s="22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28"/>
      <c r="B297" s="22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28"/>
      <c r="B298" s="22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28"/>
      <c r="B299" s="22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28"/>
      <c r="B300" s="22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28"/>
      <c r="B301" s="22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28"/>
      <c r="B302" s="22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28"/>
      <c r="B303" s="22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28"/>
      <c r="B304" s="22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28"/>
      <c r="B305" s="22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28"/>
      <c r="B306" s="22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28"/>
      <c r="B307" s="22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28"/>
      <c r="B308" s="22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28"/>
      <c r="B309" s="22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28"/>
      <c r="B310" s="22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28"/>
      <c r="B311" s="22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28"/>
      <c r="B312" s="22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28"/>
      <c r="B313" s="22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28"/>
      <c r="B314" s="22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28"/>
      <c r="B315" s="22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28"/>
      <c r="B316" s="22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28"/>
      <c r="B317" s="22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28"/>
      <c r="B318" s="22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28"/>
      <c r="B319" s="22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28"/>
      <c r="B320" s="22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28"/>
      <c r="B321" s="22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28"/>
      <c r="B322" s="22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28"/>
      <c r="B323" s="22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28"/>
      <c r="B324" s="22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28"/>
      <c r="B325" s="22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28"/>
      <c r="B326" s="22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28"/>
      <c r="B327" s="22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28"/>
      <c r="B328" s="22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28"/>
      <c r="B329" s="22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28"/>
      <c r="B330" s="22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28"/>
      <c r="B331" s="22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28"/>
      <c r="B332" s="22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28"/>
      <c r="B333" s="22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28"/>
      <c r="B334" s="22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28"/>
      <c r="B335" s="22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28"/>
      <c r="B336" s="22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28"/>
      <c r="B337" s="22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28"/>
      <c r="B338" s="22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28"/>
      <c r="B339" s="22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28"/>
      <c r="B340" s="22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28"/>
      <c r="B341" s="22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28"/>
      <c r="B342" s="22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28"/>
      <c r="B343" s="22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28"/>
      <c r="B344" s="22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28"/>
      <c r="B345" s="22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28"/>
      <c r="B346" s="22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28"/>
      <c r="B347" s="22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28"/>
      <c r="B348" s="22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28"/>
      <c r="B349" s="22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28"/>
      <c r="B350" s="22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28"/>
      <c r="B351" s="22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28"/>
      <c r="B352" s="22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28"/>
      <c r="B353" s="22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28"/>
      <c r="B354" s="22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28"/>
      <c r="B355" s="22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28"/>
      <c r="B356" s="22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28"/>
      <c r="B357" s="22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28"/>
      <c r="B358" s="22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28"/>
      <c r="B359" s="22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28"/>
      <c r="B360" s="22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28"/>
      <c r="B361" s="22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28"/>
      <c r="B362" s="22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28"/>
      <c r="B363" s="22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28"/>
      <c r="B364" s="22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28"/>
      <c r="B365" s="22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28"/>
      <c r="B366" s="22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28"/>
      <c r="B367" s="22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28"/>
      <c r="B368" s="22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28"/>
      <c r="B369" s="22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28"/>
      <c r="B370" s="22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28"/>
      <c r="B371" s="22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28"/>
      <c r="B372" s="22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28"/>
      <c r="B373" s="22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28"/>
      <c r="B374" s="22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28"/>
      <c r="B375" s="22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28"/>
      <c r="B376" s="22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28"/>
      <c r="B377" s="22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28"/>
      <c r="B378" s="22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28"/>
      <c r="B379" s="22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28"/>
      <c r="B380" s="22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28"/>
      <c r="B381" s="22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28"/>
      <c r="B382" s="22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28"/>
      <c r="B383" s="22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28"/>
      <c r="B384" s="22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28"/>
      <c r="B385" s="22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28"/>
      <c r="B386" s="22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28"/>
      <c r="B387" s="22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28"/>
      <c r="B388" s="22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28"/>
      <c r="B389" s="22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28"/>
      <c r="B390" s="22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28"/>
      <c r="B391" s="22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28"/>
      <c r="B392" s="22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28"/>
      <c r="B393" s="22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28"/>
      <c r="B394" s="22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28"/>
      <c r="B395" s="22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28"/>
      <c r="B396" s="22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28"/>
      <c r="B397" s="22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28"/>
      <c r="B398" s="22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28"/>
      <c r="B399" s="22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28"/>
      <c r="B400" s="22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28"/>
      <c r="B401" s="22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28"/>
      <c r="B402" s="22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28"/>
      <c r="B403" s="22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28"/>
      <c r="B404" s="22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28"/>
      <c r="B405" s="22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28"/>
      <c r="B406" s="22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28"/>
      <c r="B407" s="22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28"/>
      <c r="B408" s="22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28"/>
      <c r="B409" s="22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28"/>
      <c r="B410" s="22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28"/>
      <c r="B411" s="22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28"/>
      <c r="B412" s="22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28"/>
      <c r="B413" s="22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28"/>
      <c r="B414" s="22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28"/>
      <c r="B415" s="22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28"/>
      <c r="B416" s="22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28"/>
      <c r="B417" s="22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28"/>
      <c r="B418" s="22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28"/>
      <c r="B419" s="22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28"/>
      <c r="B420" s="22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28"/>
      <c r="B421" s="22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28"/>
      <c r="B422" s="22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28"/>
      <c r="B423" s="22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28"/>
      <c r="B424" s="22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28"/>
      <c r="B425" s="22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28"/>
      <c r="B426" s="22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28"/>
      <c r="B427" s="22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28"/>
      <c r="B428" s="22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28"/>
      <c r="B429" s="22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28"/>
      <c r="B430" s="22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28"/>
      <c r="B431" s="22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28"/>
      <c r="B432" s="22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28"/>
      <c r="B433" s="22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28"/>
      <c r="B434" s="22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28"/>
      <c r="B435" s="22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28"/>
      <c r="B436" s="22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28"/>
      <c r="B437" s="22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28"/>
      <c r="B438" s="22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28"/>
      <c r="B439" s="22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28"/>
      <c r="B440" s="22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28"/>
      <c r="B441" s="22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28"/>
      <c r="B442" s="22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28"/>
      <c r="B443" s="22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28"/>
      <c r="B444" s="22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28"/>
      <c r="B445" s="22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28"/>
      <c r="B446" s="22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28"/>
      <c r="B447" s="22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28"/>
      <c r="B448" s="22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28"/>
      <c r="B449" s="22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28"/>
      <c r="B450" s="22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28"/>
      <c r="B451" s="22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28"/>
      <c r="B452" s="22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28"/>
      <c r="B453" s="22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28"/>
      <c r="B454" s="22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28"/>
      <c r="B455" s="22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28"/>
      <c r="B456" s="22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28"/>
      <c r="B457" s="22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28"/>
      <c r="B458" s="22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28"/>
      <c r="B459" s="22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28"/>
      <c r="B460" s="22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28"/>
      <c r="B461" s="22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28"/>
      <c r="B462" s="22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28"/>
      <c r="B463" s="22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28"/>
      <c r="B464" s="22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28"/>
      <c r="B465" s="22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28"/>
      <c r="B466" s="22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28"/>
      <c r="B467" s="22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28"/>
      <c r="B468" s="22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28"/>
      <c r="B469" s="22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28"/>
      <c r="B470" s="22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28"/>
      <c r="B471" s="22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28"/>
      <c r="B472" s="22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28"/>
      <c r="B473" s="22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28"/>
      <c r="B474" s="22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28"/>
      <c r="B475" s="22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28"/>
      <c r="B476" s="22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28"/>
      <c r="B477" s="22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28"/>
      <c r="B478" s="22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28"/>
      <c r="B479" s="22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28"/>
      <c r="B480" s="22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28"/>
      <c r="B481" s="22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28"/>
      <c r="B482" s="22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28"/>
      <c r="B483" s="22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28"/>
      <c r="B484" s="22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28"/>
      <c r="B485" s="22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28"/>
      <c r="B486" s="22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28"/>
      <c r="B487" s="22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28"/>
      <c r="B488" s="22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28"/>
      <c r="B489" s="22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28"/>
      <c r="B490" s="22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28"/>
      <c r="B491" s="22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28"/>
      <c r="B492" s="22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28"/>
      <c r="B493" s="22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28"/>
      <c r="B494" s="22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28"/>
      <c r="B495" s="22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28"/>
      <c r="B496" s="22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28"/>
      <c r="B497" s="22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28"/>
      <c r="B498" s="22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28"/>
      <c r="B499" s="22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28"/>
      <c r="B500" s="22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28"/>
      <c r="B501" s="22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28"/>
      <c r="B502" s="22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28"/>
      <c r="B503" s="22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28"/>
      <c r="B504" s="22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28"/>
      <c r="B505" s="22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28"/>
      <c r="B506" s="22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28"/>
      <c r="B507" s="22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28"/>
      <c r="B508" s="22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28"/>
      <c r="B509" s="22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28"/>
      <c r="B510" s="22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28"/>
      <c r="B511" s="22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28"/>
      <c r="B512" s="22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28"/>
      <c r="B513" s="22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28"/>
      <c r="B514" s="22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28"/>
      <c r="B515" s="22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28"/>
      <c r="B516" s="22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28"/>
      <c r="B517" s="22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28"/>
      <c r="B518" s="22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28"/>
      <c r="B519" s="22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28"/>
      <c r="B520" s="22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28"/>
      <c r="B521" s="22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28"/>
      <c r="B522" s="22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28"/>
      <c r="B523" s="22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28"/>
      <c r="B524" s="22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28"/>
      <c r="B525" s="22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28"/>
      <c r="B526" s="22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28"/>
      <c r="B527" s="22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28"/>
      <c r="B528" s="22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28"/>
      <c r="B529" s="22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28"/>
      <c r="B530" s="22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28"/>
      <c r="B531" s="22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28"/>
      <c r="B532" s="22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28"/>
      <c r="B533" s="22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28"/>
      <c r="B534" s="22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28"/>
      <c r="B535" s="22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28"/>
      <c r="B536" s="22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28"/>
      <c r="B537" s="22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28"/>
      <c r="B538" s="22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28"/>
      <c r="B539" s="22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28"/>
      <c r="B540" s="22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28"/>
      <c r="B541" s="22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28"/>
      <c r="B542" s="22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28"/>
      <c r="B543" s="22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28"/>
      <c r="B544" s="22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28"/>
      <c r="B545" s="22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28"/>
      <c r="B546" s="22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28"/>
      <c r="B547" s="22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28"/>
      <c r="B548" s="22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28"/>
      <c r="B549" s="22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28"/>
      <c r="B550" s="22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28"/>
      <c r="B551" s="22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28"/>
      <c r="B552" s="22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28"/>
      <c r="B553" s="22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28"/>
      <c r="B554" s="22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28"/>
      <c r="B555" s="22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28"/>
      <c r="B556" s="22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28"/>
      <c r="B557" s="22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28"/>
      <c r="B558" s="22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28"/>
      <c r="B559" s="22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28"/>
      <c r="B560" s="22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28"/>
      <c r="B561" s="22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28"/>
      <c r="B562" s="22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28"/>
      <c r="B563" s="22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28"/>
      <c r="B564" s="22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28"/>
      <c r="B565" s="22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28"/>
      <c r="B566" s="22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28"/>
      <c r="B567" s="22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28"/>
      <c r="B568" s="22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28"/>
      <c r="B569" s="22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28"/>
      <c r="B570" s="22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28"/>
      <c r="B571" s="22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28"/>
      <c r="B572" s="22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28"/>
      <c r="B573" s="22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28"/>
      <c r="B574" s="22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28"/>
      <c r="B575" s="22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28"/>
      <c r="B576" s="22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28"/>
      <c r="B577" s="22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28"/>
      <c r="B578" s="22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28"/>
      <c r="B579" s="22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28"/>
      <c r="B580" s="22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28"/>
      <c r="B581" s="22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28"/>
      <c r="B582" s="22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28"/>
      <c r="B583" s="22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28"/>
      <c r="B584" s="22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28"/>
      <c r="B585" s="22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28"/>
      <c r="B586" s="22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28"/>
      <c r="B587" s="22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28"/>
      <c r="B588" s="22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28"/>
      <c r="B589" s="22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28"/>
      <c r="B590" s="22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28"/>
      <c r="B591" s="22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28"/>
      <c r="B592" s="22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28"/>
      <c r="B593" s="22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28"/>
      <c r="B594" s="22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28"/>
      <c r="B595" s="22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28"/>
      <c r="B596" s="22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28"/>
      <c r="B597" s="22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28"/>
      <c r="B598" s="22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28"/>
      <c r="B599" s="22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28"/>
      <c r="B600" s="22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28"/>
      <c r="B601" s="22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28"/>
      <c r="B602" s="22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28"/>
      <c r="B603" s="22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28"/>
      <c r="B604" s="22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28"/>
      <c r="B605" s="22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28"/>
      <c r="B606" s="22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28"/>
      <c r="B607" s="22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28"/>
      <c r="B608" s="22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28"/>
      <c r="B609" s="22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28"/>
      <c r="B610" s="22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28"/>
      <c r="B611" s="22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28"/>
      <c r="B612" s="22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28"/>
      <c r="B613" s="22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28"/>
      <c r="B614" s="22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28"/>
      <c r="B615" s="22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28"/>
      <c r="B616" s="22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28"/>
      <c r="B617" s="22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28"/>
      <c r="B618" s="22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28"/>
      <c r="B619" s="22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28"/>
      <c r="B620" s="22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28"/>
      <c r="B621" s="22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28"/>
      <c r="B622" s="22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28"/>
      <c r="B623" s="22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28"/>
      <c r="B624" s="22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28"/>
      <c r="B625" s="22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28"/>
      <c r="B626" s="22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28"/>
      <c r="B627" s="22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28"/>
      <c r="B628" s="22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28"/>
      <c r="B629" s="22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28"/>
      <c r="B630" s="22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28"/>
      <c r="B631" s="22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28"/>
      <c r="B632" s="22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28"/>
      <c r="B633" s="22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28"/>
      <c r="B634" s="22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28"/>
      <c r="B635" s="22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28"/>
      <c r="B636" s="22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28"/>
      <c r="B637" s="22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28"/>
      <c r="B638" s="22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28"/>
      <c r="B639" s="22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28"/>
      <c r="B640" s="22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28"/>
      <c r="B641" s="22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28"/>
      <c r="B642" s="22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28"/>
      <c r="B643" s="22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28"/>
      <c r="B644" s="22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28"/>
      <c r="B645" s="22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28"/>
      <c r="B646" s="22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28"/>
      <c r="B647" s="22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28"/>
      <c r="B648" s="22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28"/>
      <c r="B649" s="22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28"/>
      <c r="B650" s="22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28"/>
      <c r="B651" s="22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28"/>
      <c r="B652" s="22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28"/>
      <c r="B653" s="22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28"/>
      <c r="B654" s="22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28"/>
      <c r="B655" s="22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28"/>
      <c r="B656" s="22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28"/>
      <c r="B657" s="22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28"/>
      <c r="B658" s="22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28"/>
      <c r="B659" s="22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28"/>
      <c r="B660" s="22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2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2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2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2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2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2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2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2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2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2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2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2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2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2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2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2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2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2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2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2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2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2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2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2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2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2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2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2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2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2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2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2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2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2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2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2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2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2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2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2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2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2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2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2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2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2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2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2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2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2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2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2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2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2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2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2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2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2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2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2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2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2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2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2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2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2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2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2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2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2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2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2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2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2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2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2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2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2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2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2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2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2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2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2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2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2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2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2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2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2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2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2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2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2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2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2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2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2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2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2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2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2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2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2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2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2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2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2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2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2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2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2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2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2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2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2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2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2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2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2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2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2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2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2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2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2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2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2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2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2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2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2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2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2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2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2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2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2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2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2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2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2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2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2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2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2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2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2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2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2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2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2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2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2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2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2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2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2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2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2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2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2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2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2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2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2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2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2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2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2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2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2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2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2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2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2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2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2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2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2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2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2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2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2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2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2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2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2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2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2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2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2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2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2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2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2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2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2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2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2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2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2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2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2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2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2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2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2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2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2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2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2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2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2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2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2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2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2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2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2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2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2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2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2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2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2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2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2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2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2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2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2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2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2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2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2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2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2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2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2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2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2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2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2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2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2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2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2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2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2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2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2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2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2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2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2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2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2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2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2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2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2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2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2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2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2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2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2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2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2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2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2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2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2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2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2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2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2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2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2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2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2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2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2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2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2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2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2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2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2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2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2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2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2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2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2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2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2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2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2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2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2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2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2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2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>
      <c r="A966" s="28"/>
      <c r="B966" s="22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>
      <c r="A967" s="28"/>
      <c r="B967" s="22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>
      <c r="A968" s="28"/>
      <c r="B968" s="22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>
      <c r="A969" s="28"/>
      <c r="B969" s="22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>
      <c r="A970" s="28"/>
      <c r="B970" s="22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>
      <c r="A971" s="28"/>
      <c r="B971" s="22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>
      <c r="A972" s="28"/>
      <c r="B972" s="22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>
      <c r="A973" s="28"/>
      <c r="B973" s="22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>
      <c r="A974" s="28"/>
      <c r="B974" s="22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>
      <c r="A975" s="28"/>
      <c r="B975" s="22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>
      <c r="A976" s="28"/>
      <c r="B976" s="22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>
      <c r="A977" s="28"/>
      <c r="B977" s="22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>
      <c r="A978" s="28"/>
      <c r="B978" s="22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>
      <c r="A979" s="28"/>
      <c r="B979" s="22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>
      <c r="A980" s="28"/>
      <c r="B980" s="22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>
      <c r="A981" s="28"/>
      <c r="B981" s="22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>
      <c r="A982" s="28"/>
      <c r="B982" s="22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>
      <c r="A983" s="28"/>
      <c r="B983" s="22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>
      <c r="A984" s="28"/>
      <c r="B984" s="22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>
      <c r="A985" s="28"/>
      <c r="B985" s="22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>
      <c r="A986" s="28"/>
      <c r="B986" s="22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>
      <c r="A987" s="28"/>
      <c r="B987" s="22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>
      <c r="A988" s="28"/>
      <c r="B988" s="22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>
      <c r="A989" s="28"/>
      <c r="B989" s="22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>
      <c r="A990" s="28"/>
      <c r="B990" s="22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>
      <c r="A991" s="28"/>
      <c r="B991" s="22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>
      <c r="A992" s="28"/>
      <c r="B992" s="22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>
      <c r="A993" s="28"/>
      <c r="B993" s="22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>
      <c r="A994" s="28"/>
      <c r="B994" s="22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>
      <c r="A995" s="28"/>
      <c r="B995" s="22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>
      <c r="A996" s="28"/>
      <c r="B996" s="22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>
      <c r="A997" s="28"/>
      <c r="B997" s="22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>
      <c r="A998" s="28"/>
      <c r="B998" s="22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>
      <c r="A999" s="28"/>
      <c r="B999" s="22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>
      <c r="A1000" s="28"/>
      <c r="B1000" s="22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conditionalFormatting sqref="C1:C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38"/>
    <col customWidth="1" min="2" max="2" width="10.0"/>
    <col customWidth="1" min="3" max="3" width="90.38"/>
  </cols>
  <sheetData>
    <row r="1">
      <c r="A1" s="34" t="s">
        <v>106</v>
      </c>
      <c r="B1" s="34" t="s">
        <v>107</v>
      </c>
      <c r="C1" s="34"/>
    </row>
    <row r="2">
      <c r="A2" s="18" t="s">
        <v>31</v>
      </c>
      <c r="B2" s="25">
        <f>COUNTIF('VULNERABILITY ASSESSMENT'!B:B, "Critical")</f>
        <v>17</v>
      </c>
      <c r="C2" s="25"/>
    </row>
    <row r="3">
      <c r="A3" s="18" t="s">
        <v>57</v>
      </c>
      <c r="B3" s="25">
        <f>COUNTIF('VULNERABILITY ASSESSMENT'!B:B, "High")</f>
        <v>1</v>
      </c>
      <c r="C3" s="25"/>
    </row>
    <row r="4">
      <c r="A4" s="18" t="s">
        <v>108</v>
      </c>
      <c r="B4" s="35">
        <f>COUNTIF('VULNERABILITY ASSESSMENT'!B:B, "Medium")</f>
        <v>0</v>
      </c>
      <c r="C4" s="35"/>
    </row>
    <row r="5">
      <c r="A5" s="18" t="s">
        <v>109</v>
      </c>
      <c r="B5" s="25">
        <f>COUNTIF('VULNERABILITY ASSESSMENT'!B:B, "Low")</f>
        <v>0</v>
      </c>
      <c r="C5" s="25"/>
    </row>
    <row r="6">
      <c r="A6" s="18" t="s">
        <v>110</v>
      </c>
      <c r="B6" s="25">
        <f>COUNTIF('VULNERABILITY ASSESSMENT'!B:B, "Informational")</f>
        <v>0</v>
      </c>
      <c r="C6" s="25"/>
    </row>
    <row r="7" ht="292.5" customHeight="1">
      <c r="A7" s="18"/>
      <c r="B7" s="25"/>
      <c r="C7" s="25"/>
    </row>
  </sheetData>
  <dataValidations>
    <dataValidation type="list" allowBlank="1" showErrorMessage="1" sqref="A2:A6">
      <formula1>"Critical,High,Medium,Low,Informational"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45.13"/>
    <col customWidth="1" min="3" max="3" width="10.0"/>
    <col customWidth="1" min="4" max="4" width="19.25"/>
    <col customWidth="1" min="5" max="5" width="39.13"/>
    <col customWidth="1" min="6" max="6" width="39.38"/>
  </cols>
  <sheetData>
    <row r="1">
      <c r="A1" s="26" t="s">
        <v>3</v>
      </c>
      <c r="B1" s="27" t="s">
        <v>4</v>
      </c>
      <c r="C1" s="26" t="s">
        <v>9</v>
      </c>
      <c r="D1" s="5" t="s">
        <v>0</v>
      </c>
      <c r="E1" s="1" t="s">
        <v>6</v>
      </c>
      <c r="F1" s="1" t="s">
        <v>111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>
      <c r="A2" s="36" t="str">
        <f>IFERROR(__xludf.DUMMYFUNCTION("SORT( FILTER( {'VULNERABILITY ASSESSMENT'!D4:D1001, 'VULNERABILITY ASSESSMENT'!E4:E1001, 'VULNERABILITY ASSESSMENT'!J4:J1001, 'VULNERABILITY ASSESSMENT'!A4:A1001, 'VULNERABILITY ASSESSMENT'!G4:G1001}, LEN('VULNERABILITY ASSESSMENT'!D4:D1001) &gt; 0 ), 3, FAL"&amp;"SE )"),"58987")</f>
        <v>58987</v>
      </c>
      <c r="B2" s="22" t="str">
        <f>IFERROR(__xludf.DUMMYFUNCTION("""COMPUTED_VALUE"""),"PHP Unsupported Version Detection")</f>
        <v>PHP Unsupported Version Detection</v>
      </c>
      <c r="C2" s="21">
        <f>IFERROR(__xludf.DUMMYFUNCTION("""COMPUTED_VALUE"""),9.833333333333334)</f>
        <v>9.833333333</v>
      </c>
      <c r="D2" s="22" t="str">
        <f>IFERROR(__xludf.DUMMYFUNCTION("""COMPUTED_VALUE"""),"10.20.30.10 (megaquagga.local)")</f>
        <v>10.20.30.10 (megaquagga.local)</v>
      </c>
      <c r="E2" s="22" t="str">
        <f>IFERROR(__xludf.DUMMYFUNCTION("""COMPUTED_VALUE"""),"Upgrade to a version of PHP that is currently supported.
")</f>
        <v>Upgrade to a version of PHP that is currently supported.
</v>
      </c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9" t="str">
        <f>IFERROR(__xludf.DUMMYFUNCTION("""COMPUTED_VALUE"""),"210860")</f>
        <v>210860</v>
      </c>
      <c r="B3" s="22" t="str">
        <f>IFERROR(__xludf.DUMMYFUNCTION("""COMPUTED_VALUE"""),"KB5046615: Windows 10 version 1809 / Windows Server 2019 Security Update (November 2024)")</f>
        <v>KB5046615: Windows 10 version 1809 / Windows Server 2019 Security Update (November 2024)</v>
      </c>
      <c r="C3" s="21">
        <f>IFERROR(__xludf.DUMMYFUNCTION("""COMPUTED_VALUE"""),9.799999999999999)</f>
        <v>9.8</v>
      </c>
      <c r="D3" s="22" t="str">
        <f>IFERROR(__xludf.DUMMYFUNCTION("""COMPUTED_VALUE"""),"10.20.30.11")</f>
        <v>10.20.30.11</v>
      </c>
      <c r="E3" s="22" t="str">
        <f>IFERROR(__xludf.DUMMYFUNCTION("""COMPUTED_VALUE"""),"Apply Security Update 5046615
")</f>
        <v>Apply Security Update 5046615
</v>
      </c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s="29" t="str">
        <f>IFERROR(__xludf.DUMMYFUNCTION("""COMPUTED_VALUE"""),"205461")</f>
        <v>205461</v>
      </c>
      <c r="B4" s="22" t="str">
        <f>IFERROR(__xludf.DUMMYFUNCTION("""COMPUTED_VALUE"""),"KB5041578: Windows 10 version 1809 / Windows Server 2019 Security Update (August 2024)")</f>
        <v>KB5041578: Windows 10 version 1809 / Windows Server 2019 Security Update (August 2024)</v>
      </c>
      <c r="C4" s="21">
        <f>IFERROR(__xludf.DUMMYFUNCTION("""COMPUTED_VALUE"""),9.766666666666667)</f>
        <v>9.766666667</v>
      </c>
      <c r="D4" s="22" t="str">
        <f>IFERROR(__xludf.DUMMYFUNCTION("""COMPUTED_VALUE"""),"10.20.30.11")</f>
        <v>10.20.30.11</v>
      </c>
      <c r="E4" s="22" t="str">
        <f>IFERROR(__xludf.DUMMYFUNCTION("""COMPUTED_VALUE"""),"Apply Security Update 5041578
")</f>
        <v>Apply Security Update 5041578
</v>
      </c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>
      <c r="A5" s="29" t="str">
        <f>IFERROR(__xludf.DUMMYFUNCTION("""COMPUTED_VALUE"""),"212239")</f>
        <v>212239</v>
      </c>
      <c r="B5" s="22" t="str">
        <f>IFERROR(__xludf.DUMMYFUNCTION("""COMPUTED_VALUE""")," KB5048661: Windows 10 version 1809 / Windows Server 2019 Security Update (December 2024)")</f>
        <v> KB5048661: Windows 10 version 1809 / Windows Server 2019 Security Update (December 2024)</v>
      </c>
      <c r="C5" s="21">
        <f>IFERROR(__xludf.DUMMYFUNCTION("""COMPUTED_VALUE"""),9.766666666666667)</f>
        <v>9.766666667</v>
      </c>
      <c r="D5" s="22" t="str">
        <f>IFERROR(__xludf.DUMMYFUNCTION("""COMPUTED_VALUE"""),"10.20.30.11")</f>
        <v>10.20.30.11</v>
      </c>
      <c r="E5" s="22" t="str">
        <f>IFERROR(__xludf.DUMMYFUNCTION("""COMPUTED_VALUE"""),"Apply Security Update 5048661
")</f>
        <v>Apply Security Update 5048661
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>
      <c r="A6" s="29" t="str">
        <f>IFERROR(__xludf.DUMMYFUNCTION("""COMPUTED_VALUE"""),"207822")</f>
        <v>207822</v>
      </c>
      <c r="B6" s="22" t="str">
        <f>IFERROR(__xludf.DUMMYFUNCTION("""COMPUTED_VALUE"""),"PHP 8.2.x &lt; 8.2.24 Multiple Vulnerabilities")</f>
        <v>PHP 8.2.x &lt; 8.2.24 Multiple Vulnerabilities</v>
      </c>
      <c r="C6" s="21">
        <f>IFERROR(__xludf.DUMMYFUNCTION("""COMPUTED_VALUE"""),9.566666666666668)</f>
        <v>9.566666667</v>
      </c>
      <c r="D6" s="22" t="str">
        <f>IFERROR(__xludf.DUMMYFUNCTION("""COMPUTED_VALUE"""),"10.20.30.10 (megaquagga.local)")</f>
        <v>10.20.30.10 (megaquagga.local)</v>
      </c>
      <c r="E6" s="22" t="str">
        <f>IFERROR(__xludf.DUMMYFUNCTION("""COMPUTED_VALUE"""),"Upgrade to PHP version 8.2.24 or later.")</f>
        <v>Upgrade to PHP version 8.2.24 or later.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>
      <c r="A7" s="29" t="str">
        <f>IFERROR(__xludf.DUMMYFUNCTION("""COMPUTED_VALUE"""),"200162")</f>
        <v>200162</v>
      </c>
      <c r="B7" s="22" t="str">
        <f>IFERROR(__xludf.DUMMYFUNCTION("""COMPUTED_VALUE"""),"PHP 8.2.x &lt; 8.2.20 Multiple Vulnerabilities")</f>
        <v>PHP 8.2.x &lt; 8.2.20 Multiple Vulnerabilities</v>
      </c>
      <c r="C7" s="21">
        <f>IFERROR(__xludf.DUMMYFUNCTION("""COMPUTED_VALUE"""),9.533333333333333)</f>
        <v>9.533333333</v>
      </c>
      <c r="D7" s="22" t="str">
        <f>IFERROR(__xludf.DUMMYFUNCTION("""COMPUTED_VALUE"""),"10.20.30.10 (megaquagga.local)")</f>
        <v>10.20.30.10 (megaquagga.local)</v>
      </c>
      <c r="E7" s="22" t="str">
        <f>IFERROR(__xludf.DUMMYFUNCTION("""COMPUTED_VALUE"""),"Upgrade to PHP version 8.2.20 or later.
")</f>
        <v>Upgrade to PHP version 8.2.20 or later.
</v>
      </c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>
      <c r="A8" s="29" t="str">
        <f>IFERROR(__xludf.DUMMYFUNCTION("""COMPUTED_VALUE"""),"206898")</f>
        <v>206898</v>
      </c>
      <c r="B8" s="22" t="str">
        <f>IFERROR(__xludf.DUMMYFUNCTION("""COMPUTED_VALUE"""),"KB5043050: Windows 10 version 1809 / Windows Server 2019 Security Update (September 2024)")</f>
        <v>KB5043050: Windows 10 version 1809 / Windows Server 2019 Security Update (September 2024)</v>
      </c>
      <c r="C8" s="21">
        <f>IFERROR(__xludf.DUMMYFUNCTION("""COMPUTED_VALUE"""),9.466666666666667)</f>
        <v>9.466666667</v>
      </c>
      <c r="D8" s="22" t="str">
        <f>IFERROR(__xludf.DUMMYFUNCTION("""COMPUTED_VALUE"""),"10.20.30.11")</f>
        <v>10.20.30.11</v>
      </c>
      <c r="E8" s="22" t="str">
        <f>IFERROR(__xludf.DUMMYFUNCTION("""COMPUTED_VALUE"""),"Apply Security Update 5043050
")</f>
        <v>Apply Security Update 5043050
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>
      <c r="A9" s="29" t="str">
        <f>IFERROR(__xludf.DUMMYFUNCTION("""COMPUTED_VALUE"""),"208285")</f>
        <v>208285</v>
      </c>
      <c r="B9" s="22" t="str">
        <f>IFERROR(__xludf.DUMMYFUNCTION("""COMPUTED_VALUE"""),"KB5044277: Windows 10 version 1809 / Windows Server 2019 Security Update (October 2024)")</f>
        <v>KB5044277: Windows 10 version 1809 / Windows Server 2019 Security Update (October 2024)</v>
      </c>
      <c r="C9" s="21">
        <f>IFERROR(__xludf.DUMMYFUNCTION("""COMPUTED_VALUE"""),9.1)</f>
        <v>9.1</v>
      </c>
      <c r="D9" s="22" t="str">
        <f>IFERROR(__xludf.DUMMYFUNCTION("""COMPUTED_VALUE"""),"10.20.30.11")</f>
        <v>10.20.30.11</v>
      </c>
      <c r="E9" s="22" t="str">
        <f>IFERROR(__xludf.DUMMYFUNCTION("""COMPUTED_VALUE"""),"Apply Security Update 5044277
")</f>
        <v>Apply Security Update 5044277
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>
      <c r="A10" s="29" t="str">
        <f>IFERROR(__xludf.DUMMYFUNCTION("""COMPUTED_VALUE"""),"201198")</f>
        <v>201198</v>
      </c>
      <c r="B10" s="22" t="str">
        <f>IFERROR(__xludf.DUMMYFUNCTION("""COMPUTED_VALUE""")," Apache 2.4.x &lt; 2.4.60 Multiple Vulnerabilities")</f>
        <v> Apache 2.4.x &lt; 2.4.60 Multiple Vulnerabilities</v>
      </c>
      <c r="C10" s="21">
        <f>IFERROR(__xludf.DUMMYFUNCTION("""COMPUTED_VALUE"""),8.433333333333334)</f>
        <v>8.433333333</v>
      </c>
      <c r="D10" s="22" t="str">
        <f>IFERROR(__xludf.DUMMYFUNCTION("""COMPUTED_VALUE"""),"10.20.30.10 (megaquagga.local)")</f>
        <v>10.20.30.10 (megaquagga.local)</v>
      </c>
      <c r="E10" s="22" t="str">
        <f>IFERROR(__xludf.DUMMYFUNCTION("""COMPUTED_VALUE"""),"Upgrade to Apache version 2.4.60 or later.
")</f>
        <v>Upgrade to Apache version 2.4.60 or later.
</v>
      </c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>
      <c r="A11" s="29" t="str">
        <f>IFERROR(__xludf.DUMMYFUNCTION("""COMPUTED_VALUE"""),"179906")</f>
        <v>179906</v>
      </c>
      <c r="B11" s="22" t="str">
        <f>IFERROR(__xludf.DUMMYFUNCTION("""COMPUTED_VALUE"""),"PHP 8.2.x &lt; 8.2.9 Multiple Vulnerabilities")</f>
        <v>PHP 8.2.x &lt; 8.2.9 Multiple Vulnerabilities</v>
      </c>
      <c r="C11" s="21">
        <f>IFERROR(__xludf.DUMMYFUNCTION("""COMPUTED_VALUE"""),8.366666666666667)</f>
        <v>8.366666667</v>
      </c>
      <c r="D11" s="22" t="str">
        <f>IFERROR(__xludf.DUMMYFUNCTION("""COMPUTED_VALUE"""),"10.20.30.10 (megaquagga.local)")</f>
        <v>10.20.30.10 (megaquagga.local)</v>
      </c>
      <c r="E11" s="22" t="str">
        <f>IFERROR(__xludf.DUMMYFUNCTION("""COMPUTED_VALUE"""),"Upgrade to PHP version 8.2.9 or later.
")</f>
        <v>Upgrade to PHP version 8.2.9 or later.
</v>
      </c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>
      <c r="A12" s="29" t="str">
        <f>IFERROR(__xludf.DUMMYFUNCTION("""COMPUTED_VALUE"""),"213189")</f>
        <v>213189</v>
      </c>
      <c r="B12" s="22" t="str">
        <f>IFERROR(__xludf.DUMMYFUNCTION("""COMPUTED_VALUE"""),"Ubuntu 20.04 LTS / 22.04 LTS / 24.04 LTS / 24.10 : GStreamer vulnerability (USN-7174-1)")</f>
        <v>Ubuntu 20.04 LTS / 22.04 LTS / 24.04 LTS / 24.10 : GStreamer vulnerability (USN-7174-1)</v>
      </c>
      <c r="C12" s="21">
        <f>IFERROR(__xludf.DUMMYFUNCTION("""COMPUTED_VALUE"""),8.166666666666666)</f>
        <v>8.166666667</v>
      </c>
      <c r="D12" s="22" t="str">
        <f>IFERROR(__xludf.DUMMYFUNCTION("""COMPUTED_VALUE"""),"10.20.30.12")</f>
        <v>10.20.30.12</v>
      </c>
      <c r="E12" s="22" t="str">
        <f>IFERROR(__xludf.DUMMYFUNCTION("""COMPUTED_VALUE"""),"Update the affected packages.")</f>
        <v>Update the affected packages.</v>
      </c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>
      <c r="A13" s="29" t="str">
        <f>IFERROR(__xludf.DUMMYFUNCTION("""COMPUTED_VALUE"""),"204924")</f>
        <v>204924</v>
      </c>
      <c r="B13" s="22" t="str">
        <f>IFERROR(__xludf.DUMMYFUNCTION("""COMPUTED_VALUE"""),"Ubuntu 20.04 LTS / 22.04 LTS / 24.04 LTS : OpenSSL vulnerabilities (USN-6937-1)")</f>
        <v>Ubuntu 20.04 LTS / 22.04 LTS / 24.04 LTS : OpenSSL vulnerabilities (USN-6937-1)</v>
      </c>
      <c r="C13" s="21">
        <f>IFERROR(__xludf.DUMMYFUNCTION("""COMPUTED_VALUE"""),8.133333333333333)</f>
        <v>8.133333333</v>
      </c>
      <c r="D13" s="22" t="str">
        <f>IFERROR(__xludf.DUMMYFUNCTION("""COMPUTED_VALUE"""),"10.20.30.12")</f>
        <v>10.20.30.12</v>
      </c>
      <c r="E13" s="22" t="str">
        <f>IFERROR(__xludf.DUMMYFUNCTION("""COMPUTED_VALUE"""),"Update the affected packages.")</f>
        <v>Update the affected packages.</v>
      </c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>
      <c r="A14" s="29" t="str">
        <f>IFERROR(__xludf.DUMMYFUNCTION("""COMPUTED_VALUE"""),"205548")</f>
        <v>205548</v>
      </c>
      <c r="B14" s="22" t="str">
        <f>IFERROR(__xludf.DUMMYFUNCTION("""COMPUTED_VALUE"""),"Ubuntu 20.04 LTS / 22.04 LTS / 24.04 LTS : BusyBox vulnerabilities (USN-6961-1)")</f>
        <v>Ubuntu 20.04 LTS / 22.04 LTS / 24.04 LTS : BusyBox vulnerabilities (USN-6961-1)</v>
      </c>
      <c r="C14" s="21">
        <f>IFERROR(__xludf.DUMMYFUNCTION("""COMPUTED_VALUE"""),7.933333333333333)</f>
        <v>7.933333333</v>
      </c>
      <c r="D14" s="22" t="str">
        <f>IFERROR(__xludf.DUMMYFUNCTION("""COMPUTED_VALUE"""),"10.20.30.12")</f>
        <v>10.20.30.12</v>
      </c>
      <c r="E14" s="22" t="str">
        <f>IFERROR(__xludf.DUMMYFUNCTION("""COMPUTED_VALUE"""),"Update the affected packages.")</f>
        <v>Update the affected packages.</v>
      </c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29" t="str">
        <f>IFERROR(__xludf.DUMMYFUNCTION("""COMPUTED_VALUE"""),"211522")</f>
        <v>211522</v>
      </c>
      <c r="B15" s="22" t="str">
        <f>IFERROR(__xludf.DUMMYFUNCTION("""COMPUTED_VALUE"""),"Ubuntu 16.04 LTS / 18.04 LTS / 20.04 LTS / 22.04 LTS / 24.04 LTS : GLib vulnerability (USN-7114-1)")</f>
        <v>Ubuntu 16.04 LTS / 18.04 LTS / 20.04 LTS / 22.04 LTS / 24.04 LTS : GLib vulnerability (USN-7114-1)</v>
      </c>
      <c r="C15" s="21">
        <f>IFERROR(__xludf.DUMMYFUNCTION("""COMPUTED_VALUE"""),7.866666666666666)</f>
        <v>7.866666667</v>
      </c>
      <c r="D15" s="22" t="str">
        <f>IFERROR(__xludf.DUMMYFUNCTION("""COMPUTED_VALUE"""),"10.20.30.12")</f>
        <v>10.20.30.12</v>
      </c>
      <c r="E15" s="22" t="str">
        <f>IFERROR(__xludf.DUMMYFUNCTION("""COMPUTED_VALUE"""),"Update the affected packages.")</f>
        <v>Update the affected packages.</v>
      </c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29" t="str">
        <f>IFERROR(__xludf.DUMMYFUNCTION("""COMPUTED_VALUE"""),"207059")</f>
        <v>207059</v>
      </c>
      <c r="B16" s="22" t="str">
        <f>IFERROR(__xludf.DUMMYFUNCTION("""COMPUTED_VALUE"""),"Ubuntu 14.04 LTS / 16.04 LTS / 18.04 LTS / 20.04 LTS / 24.04 LTS : Expat vulnerabilities (USN-7000-1)")</f>
        <v>Ubuntu 14.04 LTS / 16.04 LTS / 18.04 LTS / 20.04 LTS / 24.04 LTS : Expat vulnerabilities (USN-7000-1)</v>
      </c>
      <c r="C16" s="21">
        <f>IFERROR(__xludf.DUMMYFUNCTION("""COMPUTED_VALUE"""),7.766666666666667)</f>
        <v>7.766666667</v>
      </c>
      <c r="D16" s="22" t="str">
        <f>IFERROR(__xludf.DUMMYFUNCTION("""COMPUTED_VALUE"""),"10.20.30.12")</f>
        <v>10.20.30.12</v>
      </c>
      <c r="E16" s="22" t="str">
        <f>IFERROR(__xludf.DUMMYFUNCTION("""COMPUTED_VALUE"""),"Update the affected packages.
")</f>
        <v>Update the affected packages.
</v>
      </c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29" t="str">
        <f>IFERROR(__xludf.DUMMYFUNCTION("""COMPUTED_VALUE"""),"211671")</f>
        <v>211671</v>
      </c>
      <c r="B17" s="22" t="str">
        <f>IFERROR(__xludf.DUMMYFUNCTION("""COMPUTED_VALUE"""),"PHP 8.2.x &lt; 8.2.26 Multiple Vulnerabilities")</f>
        <v>PHP 8.2.x &lt; 8.2.26 Multiple Vulnerabilities</v>
      </c>
      <c r="C17" s="21">
        <f>IFERROR(__xludf.DUMMYFUNCTION("""COMPUTED_VALUE"""),7.7)</f>
        <v>7.7</v>
      </c>
      <c r="D17" s="22" t="str">
        <f>IFERROR(__xludf.DUMMYFUNCTION("""COMPUTED_VALUE"""),"10.20.30.10 (megaquagga.local)")</f>
        <v>10.20.30.10 (megaquagga.local)</v>
      </c>
      <c r="E17" s="22" t="str">
        <f>IFERROR(__xludf.DUMMYFUNCTION("""COMPUTED_VALUE"""),"Upgrade to PHP version 8.2.26 or later.
")</f>
        <v>Upgrade to PHP version 8.2.26 or later.
</v>
      </c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29" t="str">
        <f>IFERROR(__xludf.DUMMYFUNCTION("""COMPUTED_VALUE"""),"209121")</f>
        <v>209121</v>
      </c>
      <c r="B18" s="22" t="str">
        <f>IFERROR(__xludf.DUMMYFUNCTION("""COMPUTED_VALUE"""),"Ubuntu 14.04 LTS / 16.04 LTS / 18.04 LTS / 20.04 LTS / 22.04 LTS / 24.04 LTS : libarchive vulnerabilities (USN-7070-1)")</f>
        <v>Ubuntu 14.04 LTS / 16.04 LTS / 18.04 LTS / 20.04 LTS / 22.04 LTS / 24.04 LTS : libarchive vulnerabilities (USN-7070-1)</v>
      </c>
      <c r="C18" s="21">
        <f>IFERROR(__xludf.DUMMYFUNCTION("""COMPUTED_VALUE"""),7.1000000000000005)</f>
        <v>7.1</v>
      </c>
      <c r="D18" s="22" t="str">
        <f>IFERROR(__xludf.DUMMYFUNCTION("""COMPUTED_VALUE"""),"10.20.30.12")</f>
        <v>10.20.30.12</v>
      </c>
      <c r="E18" s="22" t="str">
        <f>IFERROR(__xludf.DUMMYFUNCTION("""COMPUTED_VALUE"""),"Update the affected packages.
")</f>
        <v>Update the affected packages.
</v>
      </c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29" t="str">
        <f>IFERROR(__xludf.DUMMYFUNCTION("""COMPUTED_VALUE"""),"205195")</f>
        <v>205195</v>
      </c>
      <c r="B19" s="22" t="str">
        <f>IFERROR(__xludf.DUMMYFUNCTION("""COMPUTED_VALUE"""),"Ubuntu 14.04 LTS / 16.04 LTS / 18.04 LTS / 20.04 LTS / 22.04 LTS / 24.04 LTS : Kerberos vulnerabilities (USN-6947-1)")</f>
        <v>Ubuntu 14.04 LTS / 16.04 LTS / 18.04 LTS / 20.04 LTS / 22.04 LTS / 24.04 LTS : Kerberos vulnerabilities (USN-6947-1)</v>
      </c>
      <c r="C19" s="21">
        <f>IFERROR(__xludf.DUMMYFUNCTION("""COMPUTED_VALUE"""),6.933333333333334)</f>
        <v>6.933333333</v>
      </c>
      <c r="D19" s="22" t="str">
        <f>IFERROR(__xludf.DUMMYFUNCTION("""COMPUTED_VALUE"""),"10.20.30.12")</f>
        <v>10.20.30.12</v>
      </c>
      <c r="E19" s="22" t="str">
        <f>IFERROR(__xludf.DUMMYFUNCTION("""COMPUTED_VALUE"""),"Update the affected packages.
")</f>
        <v>Update the affected packages.
</v>
      </c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>
      <c r="A39" s="22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>
      <c r="A41" s="22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>
      <c r="A42" s="22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>
      <c r="A53" s="22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>
      <c r="A54" s="22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>
      <c r="A55" s="22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>
      <c r="A56" s="22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>
      <c r="A57" s="22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>
      <c r="A58" s="22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>
      <c r="A59" s="22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>
      <c r="A60" s="22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>
      <c r="A61" s="22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>
      <c r="A62" s="22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>
      <c r="A63" s="22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>
      <c r="A67" s="22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>
      <c r="A77" s="22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>
      <c r="A78" s="22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>
      <c r="A79" s="22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>
      <c r="A80" s="22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>
      <c r="A81" s="22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>
      <c r="A82" s="22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>
      <c r="A83" s="22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>
      <c r="A84" s="22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>
      <c r="A85" s="22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>
      <c r="A86" s="22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>
      <c r="A87" s="22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>
      <c r="A88" s="22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>
      <c r="A93" s="22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>
      <c r="A94" s="22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>
      <c r="A95" s="22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>
      <c r="A96" s="22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>
      <c r="A97" s="22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>
      <c r="A98" s="22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>
      <c r="A99" s="22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>
      <c r="A100" s="22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>
      <c r="A101" s="22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>
      <c r="A102" s="22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>
      <c r="A104" s="22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>
      <c r="A105" s="22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>
      <c r="A106" s="22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>
      <c r="A107" s="22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>
      <c r="A108" s="22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>
      <c r="A109" s="22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>
      <c r="A110" s="22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>
      <c r="A111" s="22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>
      <c r="A112" s="22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>
      <c r="A117" s="22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>
      <c r="A122" s="22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>
      <c r="A124" s="22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>
      <c r="A125" s="22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>
      <c r="A126" s="22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>
      <c r="A127" s="22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>
      <c r="A128" s="22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>
      <c r="A129" s="22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>
      <c r="A130" s="22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>
      <c r="A131" s="22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>
      <c r="A132" s="22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>
      <c r="A134" s="22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>
      <c r="A135" s="22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>
      <c r="A136" s="22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>
      <c r="A137" s="22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>
      <c r="A138" s="22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>
      <c r="A139" s="22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>
      <c r="A140" s="22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>
      <c r="A141" s="22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>
      <c r="A142" s="22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>
      <c r="A143" s="22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>
      <c r="A144" s="22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>
      <c r="A145" s="22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>
      <c r="A146" s="22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>
      <c r="A147" s="22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>
      <c r="A148" s="22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>
      <c r="A149" s="22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>
      <c r="A150" s="22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>
      <c r="A151" s="22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>
      <c r="A152" s="22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>
      <c r="A153" s="22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>
      <c r="A154" s="22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>
      <c r="A155" s="22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>
      <c r="A156" s="22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>
      <c r="A157" s="22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>
      <c r="A158" s="22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>
      <c r="A159" s="22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>
      <c r="A160" s="22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>
      <c r="A161" s="22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>
      <c r="A162" s="22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>
      <c r="A163" s="22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>
      <c r="A164" s="22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>
      <c r="A165" s="22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>
      <c r="A166" s="22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>
      <c r="A167" s="22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>
      <c r="A168" s="22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>
      <c r="A169" s="22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>
      <c r="A170" s="22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>
      <c r="A171" s="22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>
      <c r="A173" s="22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>
      <c r="A174" s="22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>
      <c r="A175" s="22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>
      <c r="A176" s="22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>
      <c r="A177" s="22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>
      <c r="A178" s="22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>
      <c r="A179" s="22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>
      <c r="A180" s="22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>
      <c r="A181" s="22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>
      <c r="A182" s="22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>
      <c r="A183" s="22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>
      <c r="A184" s="22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>
      <c r="A185" s="22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>
      <c r="A186" s="22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>
      <c r="A187" s="22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>
      <c r="A188" s="22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>
      <c r="A189" s="22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>
      <c r="A190" s="22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>
      <c r="A191" s="22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>
      <c r="A192" s="22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>
      <c r="A193" s="22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>
      <c r="A194" s="22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>
      <c r="A195" s="22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>
      <c r="A196" s="22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>
      <c r="A197" s="22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>
      <c r="A198" s="22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>
      <c r="A199" s="22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>
      <c r="A200" s="22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>
      <c r="A201" s="22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>
      <c r="A202" s="22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>
      <c r="A203" s="22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>
      <c r="A204" s="22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>
      <c r="A205" s="22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>
      <c r="A206" s="22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>
      <c r="A207" s="22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>
      <c r="A208" s="22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>
      <c r="A209" s="22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>
      <c r="A210" s="22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>
      <c r="A211" s="22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>
      <c r="A212" s="22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>
      <c r="A213" s="22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>
      <c r="A214" s="22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>
      <c r="A215" s="22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>
      <c r="A216" s="22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>
      <c r="A217" s="22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>
      <c r="A218" s="22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>
      <c r="A219" s="22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>
      <c r="A220" s="22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>
      <c r="A1001" s="22"/>
      <c r="B1001" s="22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</sheetData>
  <conditionalFormatting sqref="E1:F1">
    <cfRule type="expression" dxfId="0" priority="1">
      <formula>$B1="Critical"</formula>
    </cfRule>
  </conditionalFormatting>
  <conditionalFormatting sqref="E1:F1">
    <cfRule type="expression" dxfId="1" priority="2">
      <formula>$B1="High"</formula>
    </cfRule>
  </conditionalFormatting>
  <conditionalFormatting sqref="E1:F1">
    <cfRule type="expression" dxfId="2" priority="3">
      <formula>$B1="Medium"</formula>
    </cfRule>
  </conditionalFormatting>
  <conditionalFormatting sqref="E1:F1">
    <cfRule type="expression" dxfId="3" priority="4">
      <formula>$B1="Low"</formula>
    </cfRule>
  </conditionalFormatting>
  <conditionalFormatting sqref="E1:F1">
    <cfRule type="expression" dxfId="4" priority="5">
      <formula>$B1="Informational"</formula>
    </cfRule>
  </conditionalFormatting>
  <conditionalFormatting sqref="C1 E1:F1">
    <cfRule type="colorScale" priority="6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